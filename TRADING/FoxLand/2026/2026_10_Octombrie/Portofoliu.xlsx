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ofoliu" sheetId="1" state="visible" r:id="rId3"/>
    <sheet name="Date_grafice" sheetId="2" state="visible" r:id="rId4"/>
    <sheet name="Grafi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<sst xmlns="http://schemas.openxmlformats.org/spreadsheetml/2006/main" count="77" uniqueCount="72">
  <si>
    <t xml:space="preserve">Portofoliu de investiții</t>
  </si>
  <si>
    <t xml:space="preserve">Celulele galbene = introducere manuală (editabile). Restul se calculează automat prin formule. Valori în USD.</t>
  </si>
  <si>
    <t xml:space="preserve">Ticker</t>
  </si>
  <si>
    <t xml:space="preserve">Preț curent ($)</t>
  </si>
  <si>
    <t xml:space="preserve">Acțiuni</t>
  </si>
  <si>
    <t xml:space="preserve">Preț mediu ($)</t>
  </si>
  <si>
    <t xml:space="preserve">Cost total ($)</t>
  </si>
  <si>
    <t xml:space="preserve">Valoare piață ($)</t>
  </si>
  <si>
    <t xml:space="preserve">Câștig/Pierdere ($)</t>
  </si>
  <si>
    <t xml:space="preserve">Câștig UNRL (%)</t>
  </si>
  <si>
    <t xml:space="preserve">% din portofoliu</t>
  </si>
  <si>
    <t xml:space="preserve">Preț cumpărare ($)</t>
  </si>
  <si>
    <t xml:space="preserve">Preț vânzare ($)</t>
  </si>
  <si>
    <t xml:space="preserve">Sumar</t>
  </si>
  <si>
    <t xml:space="preserve">Valoare</t>
  </si>
  <si>
    <t xml:space="preserve">MU</t>
  </si>
  <si>
    <t xml:space="preserve">600-700</t>
  </si>
  <si>
    <t xml:space="preserve">1300-1500</t>
  </si>
  <si>
    <t xml:space="preserve">Cash Tactic ($)</t>
  </si>
  <si>
    <t xml:space="preserve">CRDO</t>
  </si>
  <si>
    <t xml:space="preserve">153-182</t>
  </si>
  <si>
    <t xml:space="preserve">300(25%) -&gt; 375-420</t>
  </si>
  <si>
    <t xml:space="preserve">Total Portofoliu ($)</t>
  </si>
  <si>
    <t xml:space="preserve">CLS</t>
  </si>
  <si>
    <t xml:space="preserve">318-355</t>
  </si>
  <si>
    <t xml:space="preserve">570(25%)</t>
  </si>
  <si>
    <t xml:space="preserve">Total Market Value ($)</t>
  </si>
  <si>
    <t xml:space="preserve">ALAB</t>
  </si>
  <si>
    <t xml:space="preserve">207-235</t>
  </si>
  <si>
    <t xml:space="preserve">400(25%) -&gt; 520-575</t>
  </si>
  <si>
    <t xml:space="preserve">% Cash Tactic</t>
  </si>
  <si>
    <t xml:space="preserve">VRT</t>
  </si>
  <si>
    <t xml:space="preserve">234-265</t>
  </si>
  <si>
    <t xml:space="preserve">400(25%) -&gt; 420-470</t>
  </si>
  <si>
    <t xml:space="preserve">% Investit</t>
  </si>
  <si>
    <t xml:space="preserve">FN</t>
  </si>
  <si>
    <t xml:space="preserve">425-475</t>
  </si>
  <si>
    <t xml:space="preserve">700(25%) -&gt; 780-850</t>
  </si>
  <si>
    <t xml:space="preserve">STRL</t>
  </si>
  <si>
    <t xml:space="preserve">527-575</t>
  </si>
  <si>
    <t xml:space="preserve">800(20%) -&gt; 1050-1150</t>
  </si>
  <si>
    <t xml:space="preserve">Notă: valorile (prețuri, acțiuni, preț mediu, cash, intervale buy/sell) provin din captura ta de ecran; nu am adăugat date noi.</t>
  </si>
  <si>
    <t xml:space="preserve">IESC</t>
  </si>
  <si>
    <t xml:space="preserve">275</t>
  </si>
  <si>
    <t xml:space="preserve">425-460</t>
  </si>
  <si>
    <t xml:space="preserve">LEU</t>
  </si>
  <si>
    <t xml:space="preserve">140-150</t>
  </si>
  <si>
    <t xml:space="preserve">280-320</t>
  </si>
  <si>
    <t xml:space="preserve">AAOI</t>
  </si>
  <si>
    <t xml:space="preserve">72-86</t>
  </si>
  <si>
    <t xml:space="preserve">150-175</t>
  </si>
  <si>
    <t xml:space="preserve">INOD</t>
  </si>
  <si>
    <t xml:space="preserve">ANET</t>
  </si>
  <si>
    <t xml:space="preserve">146-180</t>
  </si>
  <si>
    <t xml:space="preserve">280(25%) -&gt;320-350</t>
  </si>
  <si>
    <t xml:space="preserve">UUUU</t>
  </si>
  <si>
    <t xml:space="preserve">NNE</t>
  </si>
  <si>
    <t xml:space="preserve">OKLO</t>
  </si>
  <si>
    <t xml:space="preserve">31-38</t>
  </si>
  <si>
    <t xml:space="preserve">80</t>
  </si>
  <si>
    <t xml:space="preserve">TOTAL</t>
  </si>
  <si>
    <t xml:space="preserve">Rang</t>
  </si>
  <si>
    <t xml:space="preserve">Ticker (după valoare)</t>
  </si>
  <si>
    <t xml:space="preserve">Ticker (după câștig)</t>
  </si>
  <si>
    <t xml:space="preserve">Câștig (+)</t>
  </si>
  <si>
    <t xml:space="preserve">Pierdere (−)</t>
  </si>
  <si>
    <t xml:space="preserve">Categorie</t>
  </si>
  <si>
    <t xml:space="preserve">Valoare ($)</t>
  </si>
  <si>
    <t xml:space="preserve">Investit</t>
  </si>
  <si>
    <t xml:space="preserve">Cash</t>
  </si>
  <si>
    <t xml:space="preserve">Tabele ajutătoare pentru grafice (formule) — nu edita; se actualizează din foaia Portofoliu.</t>
  </si>
  <si>
    <t xml:space="preserve">Grafice portofoliu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</si>
</sst>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[RED]\-#,##0.00"/>
    <numFmt numFmtId="166" formatCode="#,##0"/>
    <numFmt numFmtId="167" formatCode="0.00%;[RED]\-0.00%"/>
    <numFmt numFmtId="168" formatCode="0.00%"/>
    <numFmt numFmtId="169" formatCode="0.0%"/>
    <numFmt numFmtId="170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44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667085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2A8"/>
        <bgColor rgb="FFF3F5F9"/>
      </patternFill>
    </fill>
    <fill>
      <patternFill patternType="solid">
        <fgColor rgb="FFF3F5F9"/>
        <bgColor rgb="FFFFFFFF"/>
      </patternFill>
    </fill>
    <fill>
      <patternFill patternType="solid">
        <fgColor rgb="FFDDE3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E8E3E"/>
      </font>
    </dxf>
    <dxf>
      <font>
        <name val="Arial"/>
        <charset val="1"/>
        <family val="0"/>
        <b val="1"/>
        <color rgb="FFD93025"/>
      </font>
    </dxf>
    <dxf>
      <font>
        <name val="Arial"/>
        <charset val="1"/>
        <family val="0"/>
        <color rgb="FF1E8E3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5B8DEF"/>
      <rgbColor rgb="FFBDC3C7"/>
      <rgbColor rgb="FF878787"/>
      <rgbColor rgb="FF8FA3C7"/>
      <rgbColor rgb="FF9B59B6"/>
      <rgbColor rgb="FFF3F5F9"/>
      <rgbColor rgb="FFDDE3F0"/>
      <rgbColor rgb="FF660066"/>
      <rgbColor rgb="FFFF8080"/>
      <rgbColor rgb="FF2F5DA8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8D5A2"/>
      <rgbColor rgb="FFD9D9D9"/>
      <rgbColor rgb="FFFFF2A8"/>
      <rgbColor rgb="FF8FB4F7"/>
      <rgbColor rgb="FFFF99CC"/>
      <rgbColor rgb="FFB39DDB"/>
      <rgbColor rgb="FFF6C85F"/>
      <rgbColor rgb="FF4F81BD"/>
      <rgbColor rgb="FF5CB85C"/>
      <rgbColor rgb="FF99CC00"/>
      <rgbColor rgb="FFFFCC00"/>
      <rgbColor rgb="FFF2A900"/>
      <rgbColor rgb="FFE8743B"/>
      <rgbColor rgb="FF667085"/>
      <rgbColor rgb="FF7F8C8D"/>
      <rgbColor rgb="FF003366"/>
      <rgbColor rgb="FF1E8E3E"/>
      <rgbColor rgb="FF003300"/>
      <rgbColor rgb="FF333300"/>
      <rgbColor rgb="FFD93025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Alocare pe active (din valoarea investită)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Date_grafice!C3</c:f>
              <c:strCache>
                <c:ptCount val="1"/>
                <c:pt idx="0">
                  <c:v>Valoare piață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a4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f5da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b8de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fb4f7"/>
              </a:solidFill>
              <a:ln w="0">
                <a:noFill/>
              </a:ln>
            </c:spPr>
          </c:dPt>
          <c:dPt>
            <c:idx val="4"/>
            <c:spPr>
              <a:solidFill>
                <a:srgbClr val="1e8e3e"/>
              </a:solidFill>
              <a:ln w="0">
                <a:noFill/>
              </a:ln>
            </c:spPr>
          </c:dPt>
          <c:dPt>
            <c:idx val="5"/>
            <c:spPr>
              <a:solidFill>
                <a:srgbClr val="5cb85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8d5a2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2a9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f6c85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e8743b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d93025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9b59b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b39ddb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7f8c8d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bdc3c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Date_grafice!$B$4:$B$18</c:f>
              <c:strCache>
                <c:ptCount val="15"/>
                <c:pt idx="0">
                  <c:v>MU</c:v>
                </c:pt>
                <c:pt idx="1">
                  <c:v>CLS</c:v>
                </c:pt>
                <c:pt idx="2">
                  <c:v>CRDO</c:v>
                </c:pt>
                <c:pt idx="3">
                  <c:v>ALAB</c:v>
                </c:pt>
                <c:pt idx="4">
                  <c:v>STRL</c:v>
                </c:pt>
                <c:pt idx="5">
                  <c:v>IESC</c:v>
                </c:pt>
                <c:pt idx="6">
                  <c:v>VRT</c:v>
                </c:pt>
                <c:pt idx="7">
                  <c:v>FN</c:v>
                </c:pt>
                <c:pt idx="8">
                  <c:v>AAOI</c:v>
                </c:pt>
                <c:pt idx="9">
                  <c:v>LEU</c:v>
                </c:pt>
                <c:pt idx="10">
                  <c:v>ANET</c:v>
                </c:pt>
                <c:pt idx="11">
                  <c:v>INOD</c:v>
                </c:pt>
                <c:pt idx="12">
                  <c:v>OKLO</c:v>
                </c:pt>
                <c:pt idx="13">
                  <c:v>NNE</c:v>
                </c:pt>
                <c:pt idx="14">
                  <c:v>UUUU</c:v>
                </c:pt>
              </c:strCache>
            </c:strRef>
          </c:cat>
          <c:val>
            <c:numRef>
              <c:f>Date_grafice!$C$4:$C$18</c:f>
              <c:numCache>
                <c:formatCode>#,##0</c:formatCode>
                <c:ptCount val="15"/>
                <c:pt idx="0">
                  <c:v>109888</c:v>
                </c:pt>
                <c:pt idx="1">
                  <c:v>90291.51</c:v>
                </c:pt>
                <c:pt idx="2">
                  <c:v>77003.5</c:v>
                </c:pt>
                <c:pt idx="3">
                  <c:v>63071.25</c:v>
                </c:pt>
                <c:pt idx="4">
                  <c:v>62493.21</c:v>
                </c:pt>
                <c:pt idx="5">
                  <c:v>49412.8</c:v>
                </c:pt>
                <c:pt idx="6">
                  <c:v>39438.4</c:v>
                </c:pt>
                <c:pt idx="7">
                  <c:v>36851.26</c:v>
                </c:pt>
                <c:pt idx="8">
                  <c:v>22669.9</c:v>
                </c:pt>
                <c:pt idx="9">
                  <c:v>22659.56</c:v>
                </c:pt>
                <c:pt idx="10">
                  <c:v>22014.66</c:v>
                </c:pt>
                <c:pt idx="11">
                  <c:v>16172.1</c:v>
                </c:pt>
                <c:pt idx="12">
                  <c:v>7364</c:v>
                </c:pt>
                <c:pt idx="13">
                  <c:v>5075.17</c:v>
                </c:pt>
                <c:pt idx="14">
                  <c:v>3898.8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vs Investit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Date_grafice!O3</c:f>
              <c:strCache>
                <c:ptCount val="1"/>
                <c:pt idx="0">
                  <c:v>Valoare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2a90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f5da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Date_grafice!$N$4:$N$5</c:f>
              <c:strCache>
                <c:ptCount val="2"/>
                <c:pt idx="0">
                  <c:v>Investit</c:v>
                </c:pt>
                <c:pt idx="1">
                  <c:v>Cash</c:v>
                </c:pt>
              </c:strCache>
            </c:strRef>
          </c:cat>
          <c:val>
            <c:numRef>
              <c:f>Date_grafice!$O$4:$O$5</c:f>
              <c:numCache>
                <c:formatCode>#,##0</c:formatCode>
                <c:ptCount val="2"/>
                <c:pt idx="0">
                  <c:v>628304.12</c:v>
                </c:pt>
                <c:pt idx="1">
                  <c:v>203527.52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Câștig / Pierdere nerealizată (%) pe ticker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Date_grafice!G3</c:f>
              <c:strCache>
                <c:ptCount val="1"/>
                <c:pt idx="0">
                  <c:v>Câștig (+)</c:v>
                </c:pt>
              </c:strCache>
            </c:strRef>
          </c:tx>
          <c:spPr>
            <a:solidFill>
              <a:srgbClr val="1e8e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Date_grafice!$F$4:$F$18</c:f>
              <c:strCache>
                <c:ptCount val="15"/>
                <c:pt idx="0">
                  <c:v>MU</c:v>
                </c:pt>
                <c:pt idx="1">
                  <c:v>ALAB</c:v>
                </c:pt>
                <c:pt idx="2">
                  <c:v>STRL</c:v>
                </c:pt>
                <c:pt idx="3">
                  <c:v>IESC</c:v>
                </c:pt>
                <c:pt idx="4">
                  <c:v>CLS</c:v>
                </c:pt>
                <c:pt idx="5">
                  <c:v>CRDO</c:v>
                </c:pt>
                <c:pt idx="6">
                  <c:v>AAOI</c:v>
                </c:pt>
                <c:pt idx="7">
                  <c:v>ANET</c:v>
                </c:pt>
                <c:pt idx="8">
                  <c:v>VRT</c:v>
                </c:pt>
                <c:pt idx="9">
                  <c:v>INOD</c:v>
                </c:pt>
                <c:pt idx="10">
                  <c:v>FN</c:v>
                </c:pt>
                <c:pt idx="11">
                  <c:v>OKLO</c:v>
                </c:pt>
                <c:pt idx="12">
                  <c:v>LEU</c:v>
                </c:pt>
                <c:pt idx="13">
                  <c:v>UUUU</c:v>
                </c:pt>
                <c:pt idx="14">
                  <c:v>NNE</c:v>
                </c:pt>
              </c:strCache>
            </c:strRef>
          </c:cat>
          <c:val>
            <c:numRef>
              <c:f>Date_grafice!$G$4:$G$18</c:f>
              <c:numCache>
                <c:formatCode>0.0%</c:formatCode>
                <c:ptCount val="15"/>
                <c:pt idx="0">
                  <c:v>2.096274794388</c:v>
                </c:pt>
                <c:pt idx="1">
                  <c:v>0.967217333127477</c:v>
                </c:pt>
                <c:pt idx="2">
                  <c:v>0.922160644882683</c:v>
                </c:pt>
                <c:pt idx="3">
                  <c:v>0.777438848920863</c:v>
                </c:pt>
                <c:pt idx="4">
                  <c:v>0.501839052584778</c:v>
                </c:pt>
                <c:pt idx="5">
                  <c:v>0.383449663585487</c:v>
                </c:pt>
                <c:pt idx="6">
                  <c:v>0.289487530253604</c:v>
                </c:pt>
                <c:pt idx="7">
                  <c:v>0.194939652308714</c:v>
                </c:pt>
                <c:pt idx="8">
                  <c:v>0.13281860379613</c:v>
                </c:pt>
                <c:pt idx="9">
                  <c:v>0.125465838509317</c:v>
                </c:pt>
                <c:pt idx="10">
                  <c:v>0.115194267159333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Date_grafice!H3</c:f>
              <c:strCache>
                <c:ptCount val="1"/>
                <c:pt idx="0">
                  <c:v>Pierdere (−)</c:v>
                </c:pt>
              </c:strCache>
            </c:strRef>
          </c:tx>
          <c:spPr>
            <a:solidFill>
              <a:srgbClr val="d9302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Date_grafice!$F$4:$F$18</c:f>
              <c:strCache>
                <c:ptCount val="15"/>
                <c:pt idx="0">
                  <c:v>MU</c:v>
                </c:pt>
                <c:pt idx="1">
                  <c:v>ALAB</c:v>
                </c:pt>
                <c:pt idx="2">
                  <c:v>STRL</c:v>
                </c:pt>
                <c:pt idx="3">
                  <c:v>IESC</c:v>
                </c:pt>
                <c:pt idx="4">
                  <c:v>CLS</c:v>
                </c:pt>
                <c:pt idx="5">
                  <c:v>CRDO</c:v>
                </c:pt>
                <c:pt idx="6">
                  <c:v>AAOI</c:v>
                </c:pt>
                <c:pt idx="7">
                  <c:v>ANET</c:v>
                </c:pt>
                <c:pt idx="8">
                  <c:v>VRT</c:v>
                </c:pt>
                <c:pt idx="9">
                  <c:v>INOD</c:v>
                </c:pt>
                <c:pt idx="10">
                  <c:v>FN</c:v>
                </c:pt>
                <c:pt idx="11">
                  <c:v>OKLO</c:v>
                </c:pt>
                <c:pt idx="12">
                  <c:v>LEU</c:v>
                </c:pt>
                <c:pt idx="13">
                  <c:v>UUUU</c:v>
                </c:pt>
                <c:pt idx="14">
                  <c:v>NNE</c:v>
                </c:pt>
              </c:strCache>
            </c:strRef>
          </c:cat>
          <c:val>
            <c:numRef>
              <c:f>Date_grafice!$H$4:$H$18</c:f>
              <c:numCache>
                <c:formatCode>0.0%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-0.293146477250912</c:v>
                </c:pt>
                <c:pt idx="12">
                  <c:v>-0.354649122807018</c:v>
                </c:pt>
                <c:pt idx="13">
                  <c:v>-0.492079207920792</c:v>
                </c:pt>
                <c:pt idx="14">
                  <c:v>-0.517189384800965</c:v>
                </c:pt>
              </c:numCache>
            </c:numRef>
          </c:val>
        </c:ser>
        <c:gapWidth val="150"/>
        <c:overlap val="100"/>
        <c:axId val="85711814"/>
        <c:axId val="13089549"/>
      </c:barChart>
      <c:catAx>
        <c:axId val="85711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089549"/>
        <c:crosses val="autoZero"/>
        <c:auto val="1"/>
        <c:lblAlgn val="ctr"/>
        <c:lblOffset val="100"/>
        <c:noMultiLvlLbl val="0"/>
      </c:catAx>
      <c:valAx>
        <c:axId val="13089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118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total vs Valoare de piață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Date_grafice!K3</c:f>
              <c:strCache>
                <c:ptCount val="1"/>
                <c:pt idx="0">
                  <c:v>Cost total ($)</c:v>
                </c:pt>
              </c:strCache>
            </c:strRef>
          </c:tx>
          <c:spPr>
            <a:solidFill>
              <a:srgbClr val="8fa3c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Date_grafice!$J$4:$J$18</c:f>
              <c:strCache>
                <c:ptCount val="15"/>
                <c:pt idx="0">
                  <c:v>MU</c:v>
                </c:pt>
                <c:pt idx="1">
                  <c:v>CLS</c:v>
                </c:pt>
                <c:pt idx="2">
                  <c:v>CRDO</c:v>
                </c:pt>
                <c:pt idx="3">
                  <c:v>ALAB</c:v>
                </c:pt>
                <c:pt idx="4">
                  <c:v>STRL</c:v>
                </c:pt>
                <c:pt idx="5">
                  <c:v>IESC</c:v>
                </c:pt>
                <c:pt idx="6">
                  <c:v>VRT</c:v>
                </c:pt>
                <c:pt idx="7">
                  <c:v>FN</c:v>
                </c:pt>
                <c:pt idx="8">
                  <c:v>AAOI</c:v>
                </c:pt>
                <c:pt idx="9">
                  <c:v>LEU</c:v>
                </c:pt>
                <c:pt idx="10">
                  <c:v>ANET</c:v>
                </c:pt>
                <c:pt idx="11">
                  <c:v>INOD</c:v>
                </c:pt>
                <c:pt idx="12">
                  <c:v>OKLO</c:v>
                </c:pt>
                <c:pt idx="13">
                  <c:v>NNE</c:v>
                </c:pt>
                <c:pt idx="14">
                  <c:v>UUUU</c:v>
                </c:pt>
              </c:strCache>
            </c:strRef>
          </c:cat>
          <c:val>
            <c:numRef>
              <c:f>Date_grafice!$K$4:$K$18</c:f>
              <c:numCache>
                <c:formatCode>#,##0</c:formatCode>
                <c:ptCount val="15"/>
                <c:pt idx="0">
                  <c:v>35490.39</c:v>
                </c:pt>
                <c:pt idx="1">
                  <c:v>60120.63</c:v>
                </c:pt>
                <c:pt idx="2">
                  <c:v>55660.5</c:v>
                </c:pt>
                <c:pt idx="3">
                  <c:v>32061.15</c:v>
                </c:pt>
                <c:pt idx="4">
                  <c:v>32511.96</c:v>
                </c:pt>
                <c:pt idx="5">
                  <c:v>27800</c:v>
                </c:pt>
                <c:pt idx="6">
                  <c:v>34814.4</c:v>
                </c:pt>
                <c:pt idx="7">
                  <c:v>33044.7</c:v>
                </c:pt>
                <c:pt idx="8">
                  <c:v>17580.55</c:v>
                </c:pt>
                <c:pt idx="9">
                  <c:v>35112</c:v>
                </c:pt>
                <c:pt idx="10">
                  <c:v>18423.24</c:v>
                </c:pt>
                <c:pt idx="11">
                  <c:v>14369.25</c:v>
                </c:pt>
                <c:pt idx="12">
                  <c:v>10418</c:v>
                </c:pt>
                <c:pt idx="13">
                  <c:v>10511.72</c:v>
                </c:pt>
                <c:pt idx="14">
                  <c:v>7676</c:v>
                </c:pt>
              </c:numCache>
            </c:numRef>
          </c:val>
        </c:ser>
        <c:ser>
          <c:idx val="1"/>
          <c:order val="1"/>
          <c:tx>
            <c:strRef>
              <c:f>Date_grafice!L3</c:f>
              <c:strCache>
                <c:ptCount val="1"/>
                <c:pt idx="0">
                  <c:v>Valoare piață ($)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Date_grafice!$J$4:$J$18</c:f>
              <c:strCache>
                <c:ptCount val="15"/>
                <c:pt idx="0">
                  <c:v>MU</c:v>
                </c:pt>
                <c:pt idx="1">
                  <c:v>CLS</c:v>
                </c:pt>
                <c:pt idx="2">
                  <c:v>CRDO</c:v>
                </c:pt>
                <c:pt idx="3">
                  <c:v>ALAB</c:v>
                </c:pt>
                <c:pt idx="4">
                  <c:v>STRL</c:v>
                </c:pt>
                <c:pt idx="5">
                  <c:v>IESC</c:v>
                </c:pt>
                <c:pt idx="6">
                  <c:v>VRT</c:v>
                </c:pt>
                <c:pt idx="7">
                  <c:v>FN</c:v>
                </c:pt>
                <c:pt idx="8">
                  <c:v>AAOI</c:v>
                </c:pt>
                <c:pt idx="9">
                  <c:v>LEU</c:v>
                </c:pt>
                <c:pt idx="10">
                  <c:v>ANET</c:v>
                </c:pt>
                <c:pt idx="11">
                  <c:v>INOD</c:v>
                </c:pt>
                <c:pt idx="12">
                  <c:v>OKLO</c:v>
                </c:pt>
                <c:pt idx="13">
                  <c:v>NNE</c:v>
                </c:pt>
                <c:pt idx="14">
                  <c:v>UUUU</c:v>
                </c:pt>
              </c:strCache>
            </c:strRef>
          </c:cat>
          <c:val>
            <c:numRef>
              <c:f>Date_grafice!$L$4:$L$18</c:f>
              <c:numCache>
                <c:formatCode>#,##0</c:formatCode>
                <c:ptCount val="15"/>
                <c:pt idx="0">
                  <c:v>109888</c:v>
                </c:pt>
                <c:pt idx="1">
                  <c:v>90291.51</c:v>
                </c:pt>
                <c:pt idx="2">
                  <c:v>77003.5</c:v>
                </c:pt>
                <c:pt idx="3">
                  <c:v>63071.25</c:v>
                </c:pt>
                <c:pt idx="4">
                  <c:v>62493.21</c:v>
                </c:pt>
                <c:pt idx="5">
                  <c:v>49412.8</c:v>
                </c:pt>
                <c:pt idx="6">
                  <c:v>39438.4</c:v>
                </c:pt>
                <c:pt idx="7">
                  <c:v>36851.26</c:v>
                </c:pt>
                <c:pt idx="8">
                  <c:v>22669.9</c:v>
                </c:pt>
                <c:pt idx="9">
                  <c:v>22659.56</c:v>
                </c:pt>
                <c:pt idx="10">
                  <c:v>22014.66</c:v>
                </c:pt>
                <c:pt idx="11">
                  <c:v>16172.1</c:v>
                </c:pt>
                <c:pt idx="12">
                  <c:v>7364</c:v>
                </c:pt>
                <c:pt idx="13">
                  <c:v>5075.17</c:v>
                </c:pt>
                <c:pt idx="14">
                  <c:v>3898.8</c:v>
                </c:pt>
              </c:numCache>
            </c:numRef>
          </c:val>
        </c:ser>
        <c:gapWidth val="150"/>
        <c:overlap val="0"/>
        <c:axId val="41792249"/>
        <c:axId val="99551009"/>
      </c:barChart>
      <c:catAx>
        <c:axId val="417922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51009"/>
        <c:crosses val="autoZero"/>
        <c:auto val="1"/>
        <c:lblAlgn val="ctr"/>
        <c:lblOffset val="100"/>
        <c:noMultiLvlLbl val="0"/>
      </c:catAx>
      <c:valAx>
        <c:axId val="995510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922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100800</xdr:rowOff>
    </xdr:from>
    <xdr:to>
      <xdr:col>10</xdr:col>
      <xdr:colOff>4680</xdr:colOff>
      <xdr:row>19</xdr:row>
      <xdr:rowOff>91440</xdr:rowOff>
    </xdr:to>
    <xdr:graphicFrame>
      <xdr:nvGraphicFramePr>
        <xdr:cNvPr id="0" name="Chart 1"/>
        <xdr:cNvGraphicFramePr/>
      </xdr:nvGraphicFramePr>
      <xdr:xfrm>
        <a:off x="0" y="38088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100800</xdr:rowOff>
    </xdr:from>
    <xdr:to>
      <xdr:col>20</xdr:col>
      <xdr:colOff>4320</xdr:colOff>
      <xdr:row>19</xdr:row>
      <xdr:rowOff>91440</xdr:rowOff>
    </xdr:to>
    <xdr:graphicFrame>
      <xdr:nvGraphicFramePr>
        <xdr:cNvPr id="1" name="Chart 2"/>
        <xdr:cNvGraphicFramePr/>
      </xdr:nvGraphicFramePr>
      <xdr:xfrm>
        <a:off x="6114960" y="38088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101160</xdr:rowOff>
    </xdr:from>
    <xdr:to>
      <xdr:col>10</xdr:col>
      <xdr:colOff>4680</xdr:colOff>
      <xdr:row>39</xdr:row>
      <xdr:rowOff>91800</xdr:rowOff>
    </xdr:to>
    <xdr:graphicFrame>
      <xdr:nvGraphicFramePr>
        <xdr:cNvPr id="2" name="Chart 3"/>
        <xdr:cNvGraphicFramePr/>
      </xdr:nvGraphicFramePr>
      <xdr:xfrm>
        <a:off x="0" y="419112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21</xdr:row>
      <xdr:rowOff>101160</xdr:rowOff>
    </xdr:from>
    <xdr:to>
      <xdr:col>20</xdr:col>
      <xdr:colOff>4320</xdr:colOff>
      <xdr:row>39</xdr:row>
      <xdr:rowOff>91800</xdr:rowOff>
    </xdr:to>
    <xdr:graphicFrame>
      <xdr:nvGraphicFramePr>
        <xdr:cNvPr id="3" name="Chart 4"/>
        <xdr:cNvGraphicFramePr/>
      </xdr:nvGraphicFramePr>
      <xdr:xfrm>
        <a:off x="6114960" y="419112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9" min="8" style="0" width="15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3"/>
    <col collapsed="false" customWidth="true" hidden="false" outlineLevel="0" max="13" min="13" style="0" width="24"/>
    <col collapsed="false" customWidth="true" hidden="false" outlineLevel="0" max="14" min="14" style="0" width="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M4" s="4" t="s">
        <v>13</v>
      </c>
      <c r="N4" s="4" t="s">
        <v>14</v>
      </c>
    </row>
    <row r="5" customFormat="false" ht="15" hidden="false" customHeight="false" outlineLevel="0" collapsed="false">
      <c r="A5" s="5" t="s">
        <v>15</v>
      </c>
      <c r="B5" s="6" t="n">
        <v>1088</v>
      </c>
      <c r="C5" s="7" t="n">
        <v>101</v>
      </c>
      <c r="D5" s="6" t="n">
        <v>351.39</v>
      </c>
      <c r="E5" s="8" t="n">
        <f aca="false">C5*D5</f>
        <v>35490.39</v>
      </c>
      <c r="F5" s="8" t="n">
        <f aca="false">B5*C5</f>
        <v>109888</v>
      </c>
      <c r="G5" s="8" t="n">
        <f aca="false">F5-E5</f>
        <v>74397.61</v>
      </c>
      <c r="H5" s="9" t="n">
        <f aca="false">IF(E5=0,0,F5/E5-1)</f>
        <v>2.096274794388</v>
      </c>
      <c r="I5" s="9" t="n">
        <f aca="false">IF($N$6=0,0,F5/$N$6)</f>
        <v>0.132103655013652</v>
      </c>
      <c r="J5" s="10" t="s">
        <v>16</v>
      </c>
      <c r="K5" s="11" t="s">
        <v>17</v>
      </c>
      <c r="M5" s="12" t="s">
        <v>18</v>
      </c>
      <c r="N5" s="13" t="n">
        <v>203527.52</v>
      </c>
    </row>
    <row r="6" customFormat="false" ht="15" hidden="false" customHeight="false" outlineLevel="0" collapsed="false">
      <c r="A6" s="5" t="s">
        <v>19</v>
      </c>
      <c r="B6" s="6" t="n">
        <v>220.01</v>
      </c>
      <c r="C6" s="7" t="n">
        <v>350</v>
      </c>
      <c r="D6" s="6" t="n">
        <v>159.03</v>
      </c>
      <c r="E6" s="14" t="n">
        <f aca="false">C6*D6</f>
        <v>55660.5</v>
      </c>
      <c r="F6" s="14" t="n">
        <f aca="false">B6*C6</f>
        <v>77003.5</v>
      </c>
      <c r="G6" s="14" t="n">
        <f aca="false">F6-E6</f>
        <v>21343</v>
      </c>
      <c r="H6" s="15" t="n">
        <f aca="false">IF(E6=0,0,F6/E6-1)</f>
        <v>0.383449663585487</v>
      </c>
      <c r="I6" s="15" t="n">
        <f aca="false">IF($N$6=0,0,F6/$N$6)</f>
        <v>0.0925710159329837</v>
      </c>
      <c r="J6" s="10" t="s">
        <v>20</v>
      </c>
      <c r="K6" s="11" t="s">
        <v>21</v>
      </c>
      <c r="M6" s="16" t="s">
        <v>22</v>
      </c>
      <c r="N6" s="17" t="n">
        <f aca="false">N7+N5</f>
        <v>831831.64</v>
      </c>
    </row>
    <row r="7" customFormat="false" ht="15" hidden="false" customHeight="false" outlineLevel="0" collapsed="false">
      <c r="A7" s="5" t="s">
        <v>23</v>
      </c>
      <c r="B7" s="6" t="n">
        <v>371.57</v>
      </c>
      <c r="C7" s="7" t="n">
        <v>243</v>
      </c>
      <c r="D7" s="6" t="n">
        <v>247.41</v>
      </c>
      <c r="E7" s="8" t="n">
        <f aca="false">C7*D7</f>
        <v>60120.63</v>
      </c>
      <c r="F7" s="8" t="n">
        <f aca="false">B7*C7</f>
        <v>90291.51</v>
      </c>
      <c r="G7" s="8" t="n">
        <f aca="false">F7-E7</f>
        <v>30170.88</v>
      </c>
      <c r="H7" s="9" t="n">
        <f aca="false">IF(E7=0,0,F7/E7-1)</f>
        <v>0.501839052584778</v>
      </c>
      <c r="I7" s="9" t="n">
        <f aca="false">IF($N$6=0,0,F7/$N$6)</f>
        <v>0.10854541431004</v>
      </c>
      <c r="J7" s="10" t="s">
        <v>24</v>
      </c>
      <c r="K7" s="11" t="s">
        <v>25</v>
      </c>
      <c r="M7" s="16" t="s">
        <v>26</v>
      </c>
      <c r="N7" s="17" t="n">
        <f aca="false">F20</f>
        <v>628304.12</v>
      </c>
    </row>
    <row r="8" customFormat="false" ht="15" hidden="false" customHeight="false" outlineLevel="0" collapsed="false">
      <c r="A8" s="5" t="s">
        <v>27</v>
      </c>
      <c r="B8" s="6" t="n">
        <v>382.25</v>
      </c>
      <c r="C8" s="7" t="n">
        <v>165</v>
      </c>
      <c r="D8" s="6" t="n">
        <v>194.31</v>
      </c>
      <c r="E8" s="14" t="n">
        <f aca="false">C8*D8</f>
        <v>32061.15</v>
      </c>
      <c r="F8" s="14" t="n">
        <f aca="false">B8*C8</f>
        <v>63071.25</v>
      </c>
      <c r="G8" s="14" t="n">
        <f aca="false">F8-E8</f>
        <v>31010.1</v>
      </c>
      <c r="H8" s="15" t="n">
        <f aca="false">IF(E8=0,0,F8/E8-1)</f>
        <v>0.967217333127477</v>
      </c>
      <c r="I8" s="15" t="n">
        <f aca="false">IF($N$6=0,0,F8/$N$6)</f>
        <v>0.075822133911617</v>
      </c>
      <c r="J8" s="10" t="s">
        <v>28</v>
      </c>
      <c r="K8" s="11" t="s">
        <v>29</v>
      </c>
      <c r="M8" s="16" t="s">
        <v>30</v>
      </c>
      <c r="N8" s="18" t="n">
        <f aca="false">IF(N6=0,0,N5/N6)</f>
        <v>0.244673934259101</v>
      </c>
    </row>
    <row r="9" customFormat="false" ht="15" hidden="false" customHeight="false" outlineLevel="0" collapsed="false">
      <c r="A9" s="5" t="s">
        <v>31</v>
      </c>
      <c r="B9" s="6" t="n">
        <v>246.49</v>
      </c>
      <c r="C9" s="7" t="n">
        <v>160</v>
      </c>
      <c r="D9" s="6" t="n">
        <v>217.59</v>
      </c>
      <c r="E9" s="8" t="n">
        <f aca="false">C9*D9</f>
        <v>34814.4</v>
      </c>
      <c r="F9" s="8" t="n">
        <f aca="false">B9*C9</f>
        <v>39438.4</v>
      </c>
      <c r="G9" s="8" t="n">
        <f aca="false">F9-E9</f>
        <v>4624</v>
      </c>
      <c r="H9" s="9" t="n">
        <f aca="false">IF(E9=0,0,F9/E9-1)</f>
        <v>0.13281860379613</v>
      </c>
      <c r="I9" s="9" t="n">
        <f aca="false">IF($N$6=0,0,F9/$N$6)</f>
        <v>0.0474115170709304</v>
      </c>
      <c r="J9" s="10" t="s">
        <v>32</v>
      </c>
      <c r="K9" s="11" t="s">
        <v>33</v>
      </c>
      <c r="M9" s="16" t="s">
        <v>34</v>
      </c>
      <c r="N9" s="18" t="n">
        <f aca="false">IF(N6=0,0,N7/N6)</f>
        <v>0.755326065740899</v>
      </c>
    </row>
    <row r="10" customFormat="false" ht="15" hidden="false" customHeight="false" outlineLevel="0" collapsed="false">
      <c r="A10" s="5" t="s">
        <v>35</v>
      </c>
      <c r="B10" s="6" t="n">
        <v>497.99</v>
      </c>
      <c r="C10" s="7" t="n">
        <v>74</v>
      </c>
      <c r="D10" s="6" t="n">
        <v>446.55</v>
      </c>
      <c r="E10" s="14" t="n">
        <f aca="false">C10*D10</f>
        <v>33044.7</v>
      </c>
      <c r="F10" s="14" t="n">
        <f aca="false">B10*C10</f>
        <v>36851.26</v>
      </c>
      <c r="G10" s="14" t="n">
        <f aca="false">F10-E10</f>
        <v>3806.56</v>
      </c>
      <c r="H10" s="15" t="n">
        <f aca="false">IF(E10=0,0,F10/E10-1)</f>
        <v>0.115194267159333</v>
      </c>
      <c r="I10" s="15" t="n">
        <f aca="false">IF($N$6=0,0,F10/$N$6)</f>
        <v>0.0443013444403245</v>
      </c>
      <c r="J10" s="10" t="s">
        <v>36</v>
      </c>
      <c r="K10" s="11" t="s">
        <v>37</v>
      </c>
    </row>
    <row r="11" customFormat="false" ht="15" hidden="false" customHeight="true" outlineLevel="0" collapsed="false">
      <c r="A11" s="5" t="s">
        <v>38</v>
      </c>
      <c r="B11" s="6" t="n">
        <v>534.13</v>
      </c>
      <c r="C11" s="7" t="n">
        <v>117</v>
      </c>
      <c r="D11" s="6" t="n">
        <v>277.88</v>
      </c>
      <c r="E11" s="8" t="n">
        <f aca="false">C11*D11</f>
        <v>32511.96</v>
      </c>
      <c r="F11" s="8" t="n">
        <f aca="false">B11*C11</f>
        <v>62493.21</v>
      </c>
      <c r="G11" s="8" t="n">
        <f aca="false">F11-E11</f>
        <v>29981.25</v>
      </c>
      <c r="H11" s="9" t="n">
        <f aca="false">IF(E11=0,0,F11/E11-1)</f>
        <v>0.922160644882683</v>
      </c>
      <c r="I11" s="9" t="n">
        <f aca="false">IF($N$6=0,0,F11/$N$6)</f>
        <v>0.0751272336791613</v>
      </c>
      <c r="J11" s="10" t="s">
        <v>39</v>
      </c>
      <c r="K11" s="11" t="s">
        <v>40</v>
      </c>
      <c r="M11" s="19" t="s">
        <v>41</v>
      </c>
      <c r="N11" s="19"/>
    </row>
    <row r="12" customFormat="false" ht="15" hidden="false" customHeight="false" outlineLevel="0" collapsed="false">
      <c r="A12" s="5" t="s">
        <v>42</v>
      </c>
      <c r="B12" s="6" t="n">
        <v>308.83</v>
      </c>
      <c r="C12" s="7" t="n">
        <v>160</v>
      </c>
      <c r="D12" s="6" t="n">
        <v>173.75</v>
      </c>
      <c r="E12" s="14" t="n">
        <f aca="false">C12*D12</f>
        <v>27800</v>
      </c>
      <c r="F12" s="14" t="n">
        <f aca="false">B12*C12</f>
        <v>49412.8</v>
      </c>
      <c r="G12" s="14" t="n">
        <f aca="false">F12-E12</f>
        <v>21612.8</v>
      </c>
      <c r="H12" s="15" t="n">
        <f aca="false">IF(E12=0,0,F12/E12-1)</f>
        <v>0.777438848920863</v>
      </c>
      <c r="I12" s="15" t="n">
        <f aca="false">IF($N$6=0,0,F12/$N$6)</f>
        <v>0.0594024050347496</v>
      </c>
      <c r="J12" s="10" t="s">
        <v>43</v>
      </c>
      <c r="K12" s="11" t="s">
        <v>44</v>
      </c>
      <c r="M12" s="19"/>
      <c r="N12" s="19"/>
    </row>
    <row r="13" customFormat="false" ht="15" hidden="false" customHeight="false" outlineLevel="0" collapsed="false">
      <c r="A13" s="5" t="s">
        <v>45</v>
      </c>
      <c r="B13" s="6" t="n">
        <v>147.14</v>
      </c>
      <c r="C13" s="7" t="n">
        <v>154</v>
      </c>
      <c r="D13" s="6" t="n">
        <v>228</v>
      </c>
      <c r="E13" s="8" t="n">
        <f aca="false">C13*D13</f>
        <v>35112</v>
      </c>
      <c r="F13" s="8" t="n">
        <f aca="false">B13*C13</f>
        <v>22659.56</v>
      </c>
      <c r="G13" s="8" t="n">
        <f aca="false">F13-E13</f>
        <v>-12452.44</v>
      </c>
      <c r="H13" s="9" t="n">
        <f aca="false">IF(E13=0,0,F13/E13-1)</f>
        <v>-0.354649122807018</v>
      </c>
      <c r="I13" s="9" t="n">
        <f aca="false">IF($N$6=0,0,F13/$N$6)</f>
        <v>0.0272405603614693</v>
      </c>
      <c r="J13" s="10" t="s">
        <v>46</v>
      </c>
      <c r="K13" s="11" t="s">
        <v>47</v>
      </c>
      <c r="M13" s="19"/>
      <c r="N13" s="19"/>
    </row>
    <row r="14" customFormat="false" ht="15" hidden="false" customHeight="false" outlineLevel="0" collapsed="false">
      <c r="A14" s="5" t="s">
        <v>48</v>
      </c>
      <c r="B14" s="6" t="n">
        <v>122.54</v>
      </c>
      <c r="C14" s="7" t="n">
        <v>185</v>
      </c>
      <c r="D14" s="6" t="n">
        <v>95.03</v>
      </c>
      <c r="E14" s="14" t="n">
        <f aca="false">C14*D14</f>
        <v>17580.55</v>
      </c>
      <c r="F14" s="14" t="n">
        <f aca="false">B14*C14</f>
        <v>22669.9</v>
      </c>
      <c r="G14" s="14" t="n">
        <f aca="false">F14-E14</f>
        <v>5089.35</v>
      </c>
      <c r="H14" s="15" t="n">
        <f aca="false">IF(E14=0,0,F14/E14-1)</f>
        <v>0.289487530253604</v>
      </c>
      <c r="I14" s="15" t="n">
        <f aca="false">IF($N$6=0,0,F14/$N$6)</f>
        <v>0.0272529907614478</v>
      </c>
      <c r="J14" s="10" t="s">
        <v>49</v>
      </c>
      <c r="K14" s="11" t="s">
        <v>50</v>
      </c>
      <c r="M14" s="19"/>
      <c r="N14" s="19"/>
    </row>
    <row r="15" customFormat="false" ht="15" hidden="false" customHeight="false" outlineLevel="0" collapsed="false">
      <c r="A15" s="5" t="s">
        <v>51</v>
      </c>
      <c r="B15" s="6" t="n">
        <v>63.42</v>
      </c>
      <c r="C15" s="7" t="n">
        <v>255</v>
      </c>
      <c r="D15" s="6" t="n">
        <v>56.35</v>
      </c>
      <c r="E15" s="8" t="n">
        <f aca="false">C15*D15</f>
        <v>14369.25</v>
      </c>
      <c r="F15" s="8" t="n">
        <f aca="false">B15*C15</f>
        <v>16172.1</v>
      </c>
      <c r="G15" s="8" t="n">
        <f aca="false">F15-E15</f>
        <v>1802.85</v>
      </c>
      <c r="H15" s="9" t="n">
        <f aca="false">IF(E15=0,0,F15/E15-1)</f>
        <v>0.125465838509317</v>
      </c>
      <c r="I15" s="9" t="n">
        <f aca="false">IF($N$6=0,0,F15/$N$6)</f>
        <v>0.0194415543029837</v>
      </c>
      <c r="J15" s="10"/>
      <c r="K15" s="11"/>
    </row>
    <row r="16" customFormat="false" ht="15" hidden="false" customHeight="false" outlineLevel="0" collapsed="false">
      <c r="A16" s="5" t="s">
        <v>52</v>
      </c>
      <c r="B16" s="6" t="n">
        <v>215.83</v>
      </c>
      <c r="C16" s="7" t="n">
        <v>102</v>
      </c>
      <c r="D16" s="6" t="n">
        <v>180.62</v>
      </c>
      <c r="E16" s="14" t="n">
        <f aca="false">C16*D16</f>
        <v>18423.24</v>
      </c>
      <c r="F16" s="14" t="n">
        <f aca="false">B16*C16</f>
        <v>22014.66</v>
      </c>
      <c r="G16" s="14" t="n">
        <f aca="false">F16-E16</f>
        <v>3591.42</v>
      </c>
      <c r="H16" s="15" t="n">
        <f aca="false">IF(E16=0,0,F16/E16-1)</f>
        <v>0.194939652308714</v>
      </c>
      <c r="I16" s="15" t="n">
        <f aca="false">IF($N$6=0,0,F16/$N$6)</f>
        <v>0.0264652832873729</v>
      </c>
      <c r="J16" s="10" t="s">
        <v>53</v>
      </c>
      <c r="K16" s="11" t="s">
        <v>54</v>
      </c>
    </row>
    <row r="17" customFormat="false" ht="15" hidden="false" customHeight="false" outlineLevel="0" collapsed="false">
      <c r="A17" s="5" t="s">
        <v>55</v>
      </c>
      <c r="B17" s="6" t="n">
        <v>10.26</v>
      </c>
      <c r="C17" s="7" t="n">
        <v>380</v>
      </c>
      <c r="D17" s="6" t="n">
        <v>20.2</v>
      </c>
      <c r="E17" s="8" t="n">
        <f aca="false">C17*D17</f>
        <v>7676</v>
      </c>
      <c r="F17" s="8" t="n">
        <f aca="false">B17*C17</f>
        <v>3898.8</v>
      </c>
      <c r="G17" s="8" t="n">
        <f aca="false">F17-E17</f>
        <v>-3777.2</v>
      </c>
      <c r="H17" s="9" t="n">
        <f aca="false">IF(E17=0,0,F17/E17-1)</f>
        <v>-0.492079207920792</v>
      </c>
      <c r="I17" s="9" t="n">
        <f aca="false">IF($N$6=0,0,F17/$N$6)</f>
        <v>0.00468700613503954</v>
      </c>
      <c r="J17" s="10"/>
      <c r="K17" s="11"/>
    </row>
    <row r="18" customFormat="false" ht="15" hidden="false" customHeight="false" outlineLevel="0" collapsed="false">
      <c r="A18" s="5" t="s">
        <v>56</v>
      </c>
      <c r="B18" s="6" t="n">
        <v>16.01</v>
      </c>
      <c r="C18" s="7" t="n">
        <v>317</v>
      </c>
      <c r="D18" s="6" t="n">
        <v>33.16</v>
      </c>
      <c r="E18" s="14" t="n">
        <f aca="false">C18*D18</f>
        <v>10511.72</v>
      </c>
      <c r="F18" s="14" t="n">
        <f aca="false">B18*C18</f>
        <v>5075.17</v>
      </c>
      <c r="G18" s="14" t="n">
        <f aca="false">F18-E18</f>
        <v>-5436.55</v>
      </c>
      <c r="H18" s="15" t="n">
        <f aca="false">IF(E18=0,0,F18/E18-1)</f>
        <v>-0.517189384800965</v>
      </c>
      <c r="I18" s="15" t="n">
        <f aca="false">IF($N$6=0,0,F18/$N$6)</f>
        <v>0.00610119855503453</v>
      </c>
      <c r="J18" s="10"/>
      <c r="K18" s="11"/>
    </row>
    <row r="19" customFormat="false" ht="15" hidden="false" customHeight="false" outlineLevel="0" collapsed="false">
      <c r="A19" s="5" t="s">
        <v>57</v>
      </c>
      <c r="B19" s="6" t="n">
        <v>36.82</v>
      </c>
      <c r="C19" s="7" t="n">
        <v>200</v>
      </c>
      <c r="D19" s="6" t="n">
        <v>52.09</v>
      </c>
      <c r="E19" s="8" t="n">
        <f aca="false">C19*D19</f>
        <v>10418</v>
      </c>
      <c r="F19" s="8" t="n">
        <f aca="false">B19*C19</f>
        <v>7364</v>
      </c>
      <c r="G19" s="8" t="n">
        <f aca="false">F19-E19</f>
        <v>-3054</v>
      </c>
      <c r="H19" s="9" t="n">
        <f aca="false">IF(E19=0,0,F19/E19-1)</f>
        <v>-0.293146477250912</v>
      </c>
      <c r="I19" s="9" t="n">
        <f aca="false">IF($N$6=0,0,F19/$N$6)</f>
        <v>0.00885275294409335</v>
      </c>
      <c r="J19" s="10" t="s">
        <v>58</v>
      </c>
      <c r="K19" s="11" t="s">
        <v>59</v>
      </c>
    </row>
    <row r="20" customFormat="false" ht="15" hidden="false" customHeight="false" outlineLevel="0" collapsed="false">
      <c r="A20" s="20" t="s">
        <v>60</v>
      </c>
      <c r="B20" s="20"/>
      <c r="C20" s="20"/>
      <c r="D20" s="20"/>
      <c r="E20" s="21" t="n">
        <f aca="false">SUM(E5:E19)</f>
        <v>425594.49</v>
      </c>
      <c r="F20" s="21" t="n">
        <f aca="false">SUM(F5:F19)</f>
        <v>628304.12</v>
      </c>
      <c r="G20" s="21" t="n">
        <f aca="false">SUM(G5:G19)</f>
        <v>202709.63</v>
      </c>
      <c r="H20" s="22" t="n">
        <f aca="false">IF(E20=0,0,F20/E20-1)</f>
        <v>0.476297590224911</v>
      </c>
      <c r="I20" s="22" t="n">
        <f aca="false">SUM(I5:I19)</f>
        <v>0.755326065740899</v>
      </c>
      <c r="J20" s="20"/>
      <c r="K20" s="20"/>
    </row>
  </sheetData>
  <mergeCells count="1">
    <mergeCell ref="M11:N14"/>
  </mergeCells>
  <conditionalFormatting sqref="H5:H1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G5:G19">
    <cfRule type="cellIs" priority="4" operator="greaterThan" aboveAverage="0" equalAverage="0" bottom="0" percent="0" rank="0" text="" dxfId="2">
      <formula>0</formula>
    </cfRule>
  </conditionalFormatting>
  <conditionalFormatting sqref="I5:I19">
    <cfRule type="dataBar" priority="5">
      <dataBar showValue="1" minLength="10" maxLength="90">
        <cfvo type="num" val="0"/>
        <cfvo type="max" val="0"/>
        <color rgb="FF5B8DEF"/>
      </dataBar>
      <extLst>
        <ext xmlns:x14="http://schemas.microsoft.com/office/spreadsheetml/2009/9/main" uri="{B025F937-C7B1-47D3-B67F-A62EFF666E3E}">
          <x14:id>{17F055F9-13A0-4447-92B6-1DE07C5155E5}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F055F9-13A0-4447-92B6-1DE07C5155E5}">
            <x14:dataBar minLength="10" maxLength="90" axisPosition="none" gradient="true">
              <x14:cfvo type="num">
                <xm:f>0</xm:f>
              </x14:cfvo>
              <x14:cfvo type="max"/>
              <x14:negativeFillColor rgb="FF5B8DEF"/>
              <x14:axisColor rgb="FF000000"/>
            </x14:dataBar>
          </x14:cfRule>
          <xm:sqref>I5:I19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3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3"/>
    <col collapsed="false" customWidth="true" hidden="false" outlineLevel="0" max="15" min="14" style="0" width="14"/>
  </cols>
  <sheetData>
    <row r="3" customFormat="false" ht="26.85" hidden="false" customHeight="false" outlineLevel="0" collapsed="false">
      <c r="A3" s="23" t="s">
        <v>61</v>
      </c>
      <c r="B3" s="23" t="s">
        <v>62</v>
      </c>
      <c r="C3" s="23" t="s">
        <v>7</v>
      </c>
      <c r="E3" s="23" t="s">
        <v>61</v>
      </c>
      <c r="F3" s="23" t="s">
        <v>63</v>
      </c>
      <c r="G3" s="23" t="s">
        <v>64</v>
      </c>
      <c r="H3" s="23" t="s">
        <v>65</v>
      </c>
      <c r="J3" s="23" t="s">
        <v>2</v>
      </c>
      <c r="K3" s="23" t="s">
        <v>6</v>
      </c>
      <c r="L3" s="23" t="s">
        <v>7</v>
      </c>
      <c r="N3" s="23" t="s">
        <v>66</v>
      </c>
      <c r="O3" s="23" t="s">
        <v>67</v>
      </c>
    </row>
    <row r="4" customFormat="false" ht="15" hidden="false" customHeight="false" outlineLevel="0" collapsed="false">
      <c r="A4" s="24" t="n">
        <v>1</v>
      </c>
      <c r="B4" s="24" t="str">
        <f aca="false">INDEX(Portofoliu!$A$5:$A$19,MATCH(LARGE(Portofoliu!$F$5:$F$19,A4),Portofoliu!$F$5:$F$19,0))</f>
        <v>MU</v>
      </c>
      <c r="C4" s="25" t="n">
        <f aca="false">LARGE(Portofoliu!$F$5:$F$19,A4)</f>
        <v>109888</v>
      </c>
      <c r="D4" s="24"/>
      <c r="E4" s="24" t="n">
        <v>1</v>
      </c>
      <c r="F4" s="24" t="str">
        <f aca="false">INDEX(Portofoliu!$A$5:$A$19,MATCH(LARGE(Portofoliu!$H$5:$H$19,E4),Portofoliu!$H$5:$H$19,0))</f>
        <v>MU</v>
      </c>
      <c r="G4" s="26" t="n">
        <f aca="false">MAX(LARGE(Portofoliu!$H$5:$H$19,E4),0)</f>
        <v>2.096274794388</v>
      </c>
      <c r="H4" s="26" t="n">
        <f aca="false">MIN(LARGE(Portofoliu!$H$5:$H$19,E4),0)</f>
        <v>0</v>
      </c>
      <c r="I4" s="24"/>
      <c r="J4" s="24" t="str">
        <f aca="false">B4</f>
        <v>MU</v>
      </c>
      <c r="K4" s="25" t="n">
        <f aca="false">INDEX(Portofoliu!$E$5:$E$19,MATCH(J4,Portofoliu!$A$5:$A$19,0))</f>
        <v>35490.39</v>
      </c>
      <c r="L4" s="25" t="n">
        <f aca="false">C4</f>
        <v>109888</v>
      </c>
      <c r="M4" s="24"/>
      <c r="N4" s="24" t="s">
        <v>68</v>
      </c>
      <c r="O4" s="25" t="n">
        <f aca="false">Portofoliu!N7</f>
        <v>628304.12</v>
      </c>
    </row>
    <row r="5" customFormat="false" ht="15" hidden="false" customHeight="false" outlineLevel="0" collapsed="false">
      <c r="A5" s="24" t="n">
        <v>2</v>
      </c>
      <c r="B5" s="24" t="str">
        <f aca="false">INDEX(Portofoliu!$A$5:$A$19,MATCH(LARGE(Portofoliu!$F$5:$F$19,A5),Portofoliu!$F$5:$F$19,0))</f>
        <v>CLS</v>
      </c>
      <c r="C5" s="25" t="n">
        <f aca="false">LARGE(Portofoliu!$F$5:$F$19,A5)</f>
        <v>90291.51</v>
      </c>
      <c r="D5" s="24"/>
      <c r="E5" s="24" t="n">
        <v>2</v>
      </c>
      <c r="F5" s="24" t="str">
        <f aca="false">INDEX(Portofoliu!$A$5:$A$19,MATCH(LARGE(Portofoliu!$H$5:$H$19,E5),Portofoliu!$H$5:$H$19,0))</f>
        <v>ALAB</v>
      </c>
      <c r="G5" s="26" t="n">
        <f aca="false">MAX(LARGE(Portofoliu!$H$5:$H$19,E5),0)</f>
        <v>0.967217333127477</v>
      </c>
      <c r="H5" s="26" t="n">
        <f aca="false">MIN(LARGE(Portofoliu!$H$5:$H$19,E5),0)</f>
        <v>0</v>
      </c>
      <c r="I5" s="24"/>
      <c r="J5" s="24" t="str">
        <f aca="false">B5</f>
        <v>CLS</v>
      </c>
      <c r="K5" s="25" t="n">
        <f aca="false">INDEX(Portofoliu!$E$5:$E$19,MATCH(J5,Portofoliu!$A$5:$A$19,0))</f>
        <v>60120.63</v>
      </c>
      <c r="L5" s="25" t="n">
        <f aca="false">C5</f>
        <v>90291.51</v>
      </c>
      <c r="M5" s="24"/>
      <c r="N5" s="24" t="s">
        <v>69</v>
      </c>
      <c r="O5" s="25" t="n">
        <f aca="false">Portofoliu!N5</f>
        <v>203527.52</v>
      </c>
    </row>
    <row r="6" customFormat="false" ht="15" hidden="false" customHeight="false" outlineLevel="0" collapsed="false">
      <c r="A6" s="24" t="n">
        <v>3</v>
      </c>
      <c r="B6" s="24" t="str">
        <f aca="false">INDEX(Portofoliu!$A$5:$A$19,MATCH(LARGE(Portofoliu!$F$5:$F$19,A6),Portofoliu!$F$5:$F$19,0))</f>
        <v>CRDO</v>
      </c>
      <c r="C6" s="25" t="n">
        <f aca="false">LARGE(Portofoliu!$F$5:$F$19,A6)</f>
        <v>77003.5</v>
      </c>
      <c r="D6" s="24"/>
      <c r="E6" s="24" t="n">
        <v>3</v>
      </c>
      <c r="F6" s="24" t="str">
        <f aca="false">INDEX(Portofoliu!$A$5:$A$19,MATCH(LARGE(Portofoliu!$H$5:$H$19,E6),Portofoliu!$H$5:$H$19,0))</f>
        <v>STRL</v>
      </c>
      <c r="G6" s="26" t="n">
        <f aca="false">MAX(LARGE(Portofoliu!$H$5:$H$19,E6),0)</f>
        <v>0.922160644882683</v>
      </c>
      <c r="H6" s="26" t="n">
        <f aca="false">MIN(LARGE(Portofoliu!$H$5:$H$19,E6),0)</f>
        <v>0</v>
      </c>
      <c r="I6" s="24"/>
      <c r="J6" s="24" t="str">
        <f aca="false">B6</f>
        <v>CRDO</v>
      </c>
      <c r="K6" s="25" t="n">
        <f aca="false">INDEX(Portofoliu!$E$5:$E$19,MATCH(J6,Portofoliu!$A$5:$A$19,0))</f>
        <v>55660.5</v>
      </c>
      <c r="L6" s="25" t="n">
        <f aca="false">C6</f>
        <v>77003.5</v>
      </c>
      <c r="M6" s="24"/>
      <c r="N6" s="24"/>
      <c r="O6" s="24"/>
    </row>
    <row r="7" customFormat="false" ht="15" hidden="false" customHeight="false" outlineLevel="0" collapsed="false">
      <c r="A7" s="24" t="n">
        <v>4</v>
      </c>
      <c r="B7" s="24" t="str">
        <f aca="false">INDEX(Portofoliu!$A$5:$A$19,MATCH(LARGE(Portofoliu!$F$5:$F$19,A7),Portofoliu!$F$5:$F$19,0))</f>
        <v>ALAB</v>
      </c>
      <c r="C7" s="25" t="n">
        <f aca="false">LARGE(Portofoliu!$F$5:$F$19,A7)</f>
        <v>63071.25</v>
      </c>
      <c r="D7" s="24"/>
      <c r="E7" s="24" t="n">
        <v>4</v>
      </c>
      <c r="F7" s="24" t="str">
        <f aca="false">INDEX(Portofoliu!$A$5:$A$19,MATCH(LARGE(Portofoliu!$H$5:$H$19,E7),Portofoliu!$H$5:$H$19,0))</f>
        <v>IESC</v>
      </c>
      <c r="G7" s="26" t="n">
        <f aca="false">MAX(LARGE(Portofoliu!$H$5:$H$19,E7),0)</f>
        <v>0.777438848920863</v>
      </c>
      <c r="H7" s="26" t="n">
        <f aca="false">MIN(LARGE(Portofoliu!$H$5:$H$19,E7),0)</f>
        <v>0</v>
      </c>
      <c r="I7" s="24"/>
      <c r="J7" s="24" t="str">
        <f aca="false">B7</f>
        <v>ALAB</v>
      </c>
      <c r="K7" s="25" t="n">
        <f aca="false">INDEX(Portofoliu!$E$5:$E$19,MATCH(J7,Portofoliu!$A$5:$A$19,0))</f>
        <v>32061.15</v>
      </c>
      <c r="L7" s="25" t="n">
        <f aca="false">C7</f>
        <v>63071.25</v>
      </c>
      <c r="M7" s="24"/>
      <c r="N7" s="24"/>
      <c r="O7" s="24"/>
    </row>
    <row r="8" customFormat="false" ht="15" hidden="false" customHeight="false" outlineLevel="0" collapsed="false">
      <c r="A8" s="24" t="n">
        <v>5</v>
      </c>
      <c r="B8" s="24" t="str">
        <f aca="false">INDEX(Portofoliu!$A$5:$A$19,MATCH(LARGE(Portofoliu!$F$5:$F$19,A8),Portofoliu!$F$5:$F$19,0))</f>
        <v>STRL</v>
      </c>
      <c r="C8" s="25" t="n">
        <f aca="false">LARGE(Portofoliu!$F$5:$F$19,A8)</f>
        <v>62493.21</v>
      </c>
      <c r="D8" s="24"/>
      <c r="E8" s="24" t="n">
        <v>5</v>
      </c>
      <c r="F8" s="24" t="str">
        <f aca="false">INDEX(Portofoliu!$A$5:$A$19,MATCH(LARGE(Portofoliu!$H$5:$H$19,E8),Portofoliu!$H$5:$H$19,0))</f>
        <v>CLS</v>
      </c>
      <c r="G8" s="26" t="n">
        <f aca="false">MAX(LARGE(Portofoliu!$H$5:$H$19,E8),0)</f>
        <v>0.501839052584778</v>
      </c>
      <c r="H8" s="26" t="n">
        <f aca="false">MIN(LARGE(Portofoliu!$H$5:$H$19,E8),0)</f>
        <v>0</v>
      </c>
      <c r="I8" s="24"/>
      <c r="J8" s="24" t="str">
        <f aca="false">B8</f>
        <v>STRL</v>
      </c>
      <c r="K8" s="25" t="n">
        <f aca="false">INDEX(Portofoliu!$E$5:$E$19,MATCH(J8,Portofoliu!$A$5:$A$19,0))</f>
        <v>32511.96</v>
      </c>
      <c r="L8" s="25" t="n">
        <f aca="false">C8</f>
        <v>62493.21</v>
      </c>
      <c r="M8" s="24"/>
      <c r="N8" s="24"/>
      <c r="O8" s="24"/>
    </row>
    <row r="9" customFormat="false" ht="15" hidden="false" customHeight="false" outlineLevel="0" collapsed="false">
      <c r="A9" s="24" t="n">
        <v>6</v>
      </c>
      <c r="B9" s="24" t="str">
        <f aca="false">INDEX(Portofoliu!$A$5:$A$19,MATCH(LARGE(Portofoliu!$F$5:$F$19,A9),Portofoliu!$F$5:$F$19,0))</f>
        <v>IESC</v>
      </c>
      <c r="C9" s="25" t="n">
        <f aca="false">LARGE(Portofoliu!$F$5:$F$19,A9)</f>
        <v>49412.8</v>
      </c>
      <c r="D9" s="24"/>
      <c r="E9" s="24" t="n">
        <v>6</v>
      </c>
      <c r="F9" s="24" t="str">
        <f aca="false">INDEX(Portofoliu!$A$5:$A$19,MATCH(LARGE(Portofoliu!$H$5:$H$19,E9),Portofoliu!$H$5:$H$19,0))</f>
        <v>CRDO</v>
      </c>
      <c r="G9" s="26" t="n">
        <f aca="false">MAX(LARGE(Portofoliu!$H$5:$H$19,E9),0)</f>
        <v>0.383449663585487</v>
      </c>
      <c r="H9" s="26" t="n">
        <f aca="false">MIN(LARGE(Portofoliu!$H$5:$H$19,E9),0)</f>
        <v>0</v>
      </c>
      <c r="I9" s="24"/>
      <c r="J9" s="24" t="str">
        <f aca="false">B9</f>
        <v>IESC</v>
      </c>
      <c r="K9" s="25" t="n">
        <f aca="false">INDEX(Portofoliu!$E$5:$E$19,MATCH(J9,Portofoliu!$A$5:$A$19,0))</f>
        <v>27800</v>
      </c>
      <c r="L9" s="25" t="n">
        <f aca="false">C9</f>
        <v>49412.8</v>
      </c>
      <c r="M9" s="24"/>
      <c r="N9" s="24"/>
      <c r="O9" s="24"/>
    </row>
    <row r="10" customFormat="false" ht="15" hidden="false" customHeight="false" outlineLevel="0" collapsed="false">
      <c r="A10" s="24" t="n">
        <v>7</v>
      </c>
      <c r="B10" s="24" t="str">
        <f aca="false">INDEX(Portofoliu!$A$5:$A$19,MATCH(LARGE(Portofoliu!$F$5:$F$19,A10),Portofoliu!$F$5:$F$19,0))</f>
        <v>VRT</v>
      </c>
      <c r="C10" s="25" t="n">
        <f aca="false">LARGE(Portofoliu!$F$5:$F$19,A10)</f>
        <v>39438.4</v>
      </c>
      <c r="D10" s="24"/>
      <c r="E10" s="24" t="n">
        <v>7</v>
      </c>
      <c r="F10" s="24" t="str">
        <f aca="false">INDEX(Portofoliu!$A$5:$A$19,MATCH(LARGE(Portofoliu!$H$5:$H$19,E10),Portofoliu!$H$5:$H$19,0))</f>
        <v>AAOI</v>
      </c>
      <c r="G10" s="26" t="n">
        <f aca="false">MAX(LARGE(Portofoliu!$H$5:$H$19,E10),0)</f>
        <v>0.289487530253604</v>
      </c>
      <c r="H10" s="26" t="n">
        <f aca="false">MIN(LARGE(Portofoliu!$H$5:$H$19,E10),0)</f>
        <v>0</v>
      </c>
      <c r="I10" s="24"/>
      <c r="J10" s="24" t="str">
        <f aca="false">B10</f>
        <v>VRT</v>
      </c>
      <c r="K10" s="25" t="n">
        <f aca="false">INDEX(Portofoliu!$E$5:$E$19,MATCH(J10,Portofoliu!$A$5:$A$19,0))</f>
        <v>34814.4</v>
      </c>
      <c r="L10" s="25" t="n">
        <f aca="false">C10</f>
        <v>39438.4</v>
      </c>
      <c r="M10" s="24"/>
      <c r="N10" s="24"/>
      <c r="O10" s="24"/>
    </row>
    <row r="11" customFormat="false" ht="15" hidden="false" customHeight="false" outlineLevel="0" collapsed="false">
      <c r="A11" s="24" t="n">
        <v>8</v>
      </c>
      <c r="B11" s="24" t="str">
        <f aca="false">INDEX(Portofoliu!$A$5:$A$19,MATCH(LARGE(Portofoliu!$F$5:$F$19,A11),Portofoliu!$F$5:$F$19,0))</f>
        <v>FN</v>
      </c>
      <c r="C11" s="25" t="n">
        <f aca="false">LARGE(Portofoliu!$F$5:$F$19,A11)</f>
        <v>36851.26</v>
      </c>
      <c r="D11" s="24"/>
      <c r="E11" s="24" t="n">
        <v>8</v>
      </c>
      <c r="F11" s="24" t="str">
        <f aca="false">INDEX(Portofoliu!$A$5:$A$19,MATCH(LARGE(Portofoliu!$H$5:$H$19,E11),Portofoliu!$H$5:$H$19,0))</f>
        <v>ANET</v>
      </c>
      <c r="G11" s="26" t="n">
        <f aca="false">MAX(LARGE(Portofoliu!$H$5:$H$19,E11),0)</f>
        <v>0.194939652308714</v>
      </c>
      <c r="H11" s="26" t="n">
        <f aca="false">MIN(LARGE(Portofoliu!$H$5:$H$19,E11),0)</f>
        <v>0</v>
      </c>
      <c r="I11" s="24"/>
      <c r="J11" s="24" t="str">
        <f aca="false">B11</f>
        <v>FN</v>
      </c>
      <c r="K11" s="25" t="n">
        <f aca="false">INDEX(Portofoliu!$E$5:$E$19,MATCH(J11,Portofoliu!$A$5:$A$19,0))</f>
        <v>33044.7</v>
      </c>
      <c r="L11" s="25" t="n">
        <f aca="false">C11</f>
        <v>36851.26</v>
      </c>
      <c r="M11" s="24"/>
      <c r="N11" s="24"/>
      <c r="O11" s="24"/>
    </row>
    <row r="12" customFormat="false" ht="15" hidden="false" customHeight="false" outlineLevel="0" collapsed="false">
      <c r="A12" s="24" t="n">
        <v>9</v>
      </c>
      <c r="B12" s="24" t="str">
        <f aca="false">INDEX(Portofoliu!$A$5:$A$19,MATCH(LARGE(Portofoliu!$F$5:$F$19,A12),Portofoliu!$F$5:$F$19,0))</f>
        <v>AAOI</v>
      </c>
      <c r="C12" s="25" t="n">
        <f aca="false">LARGE(Portofoliu!$F$5:$F$19,A12)</f>
        <v>22669.9</v>
      </c>
      <c r="D12" s="24"/>
      <c r="E12" s="24" t="n">
        <v>9</v>
      </c>
      <c r="F12" s="24" t="str">
        <f aca="false">INDEX(Portofoliu!$A$5:$A$19,MATCH(LARGE(Portofoliu!$H$5:$H$19,E12),Portofoliu!$H$5:$H$19,0))</f>
        <v>VRT</v>
      </c>
      <c r="G12" s="26" t="n">
        <f aca="false">MAX(LARGE(Portofoliu!$H$5:$H$19,E12),0)</f>
        <v>0.13281860379613</v>
      </c>
      <c r="H12" s="26" t="n">
        <f aca="false">MIN(LARGE(Portofoliu!$H$5:$H$19,E12),0)</f>
        <v>0</v>
      </c>
      <c r="I12" s="24"/>
      <c r="J12" s="24" t="str">
        <f aca="false">B12</f>
        <v>AAOI</v>
      </c>
      <c r="K12" s="25" t="n">
        <f aca="false">INDEX(Portofoliu!$E$5:$E$19,MATCH(J12,Portofoliu!$A$5:$A$19,0))</f>
        <v>17580.55</v>
      </c>
      <c r="L12" s="25" t="n">
        <f aca="false">C12</f>
        <v>22669.9</v>
      </c>
      <c r="M12" s="24"/>
      <c r="N12" s="24"/>
      <c r="O12" s="24"/>
    </row>
    <row r="13" customFormat="false" ht="15" hidden="false" customHeight="false" outlineLevel="0" collapsed="false">
      <c r="A13" s="24" t="n">
        <v>10</v>
      </c>
      <c r="B13" s="24" t="str">
        <f aca="false">INDEX(Portofoliu!$A$5:$A$19,MATCH(LARGE(Portofoliu!$F$5:$F$19,A13),Portofoliu!$F$5:$F$19,0))</f>
        <v>LEU</v>
      </c>
      <c r="C13" s="25" t="n">
        <f aca="false">LARGE(Portofoliu!$F$5:$F$19,A13)</f>
        <v>22659.56</v>
      </c>
      <c r="D13" s="24"/>
      <c r="E13" s="24" t="n">
        <v>10</v>
      </c>
      <c r="F13" s="24" t="str">
        <f aca="false">INDEX(Portofoliu!$A$5:$A$19,MATCH(LARGE(Portofoliu!$H$5:$H$19,E13),Portofoliu!$H$5:$H$19,0))</f>
        <v>INOD</v>
      </c>
      <c r="G13" s="26" t="n">
        <f aca="false">MAX(LARGE(Portofoliu!$H$5:$H$19,E13),0)</f>
        <v>0.125465838509317</v>
      </c>
      <c r="H13" s="26" t="n">
        <f aca="false">MIN(LARGE(Portofoliu!$H$5:$H$19,E13),0)</f>
        <v>0</v>
      </c>
      <c r="I13" s="24"/>
      <c r="J13" s="24" t="str">
        <f aca="false">B13</f>
        <v>LEU</v>
      </c>
      <c r="K13" s="25" t="n">
        <f aca="false">INDEX(Portofoliu!$E$5:$E$19,MATCH(J13,Portofoliu!$A$5:$A$19,0))</f>
        <v>35112</v>
      </c>
      <c r="L13" s="25" t="n">
        <f aca="false">C13</f>
        <v>22659.56</v>
      </c>
      <c r="M13" s="24"/>
      <c r="N13" s="24"/>
      <c r="O13" s="24"/>
    </row>
    <row r="14" customFormat="false" ht="15" hidden="false" customHeight="false" outlineLevel="0" collapsed="false">
      <c r="A14" s="24" t="n">
        <v>11</v>
      </c>
      <c r="B14" s="24" t="str">
        <f aca="false">INDEX(Portofoliu!$A$5:$A$19,MATCH(LARGE(Portofoliu!$F$5:$F$19,A14),Portofoliu!$F$5:$F$19,0))</f>
        <v>ANET</v>
      </c>
      <c r="C14" s="25" t="n">
        <f aca="false">LARGE(Portofoliu!$F$5:$F$19,A14)</f>
        <v>22014.66</v>
      </c>
      <c r="D14" s="24"/>
      <c r="E14" s="24" t="n">
        <v>11</v>
      </c>
      <c r="F14" s="24" t="str">
        <f aca="false">INDEX(Portofoliu!$A$5:$A$19,MATCH(LARGE(Portofoliu!$H$5:$H$19,E14),Portofoliu!$H$5:$H$19,0))</f>
        <v>FN</v>
      </c>
      <c r="G14" s="26" t="n">
        <f aca="false">MAX(LARGE(Portofoliu!$H$5:$H$19,E14),0)</f>
        <v>0.115194267159333</v>
      </c>
      <c r="H14" s="26" t="n">
        <f aca="false">MIN(LARGE(Portofoliu!$H$5:$H$19,E14),0)</f>
        <v>0</v>
      </c>
      <c r="I14" s="24"/>
      <c r="J14" s="24" t="str">
        <f aca="false">B14</f>
        <v>ANET</v>
      </c>
      <c r="K14" s="25" t="n">
        <f aca="false">INDEX(Portofoliu!$E$5:$E$19,MATCH(J14,Portofoliu!$A$5:$A$19,0))</f>
        <v>18423.24</v>
      </c>
      <c r="L14" s="25" t="n">
        <f aca="false">C14</f>
        <v>22014.66</v>
      </c>
      <c r="M14" s="24"/>
      <c r="N14" s="24"/>
      <c r="O14" s="24"/>
    </row>
    <row r="15" customFormat="false" ht="15" hidden="false" customHeight="false" outlineLevel="0" collapsed="false">
      <c r="A15" s="24" t="n">
        <v>12</v>
      </c>
      <c r="B15" s="24" t="str">
        <f aca="false">INDEX(Portofoliu!$A$5:$A$19,MATCH(LARGE(Portofoliu!$F$5:$F$19,A15),Portofoliu!$F$5:$F$19,0))</f>
        <v>INOD</v>
      </c>
      <c r="C15" s="25" t="n">
        <f aca="false">LARGE(Portofoliu!$F$5:$F$19,A15)</f>
        <v>16172.1</v>
      </c>
      <c r="D15" s="24"/>
      <c r="E15" s="24" t="n">
        <v>12</v>
      </c>
      <c r="F15" s="24" t="str">
        <f aca="false">INDEX(Portofoliu!$A$5:$A$19,MATCH(LARGE(Portofoliu!$H$5:$H$19,E15),Portofoliu!$H$5:$H$19,0))</f>
        <v>OKLO</v>
      </c>
      <c r="G15" s="26" t="n">
        <f aca="false">MAX(LARGE(Portofoliu!$H$5:$H$19,E15),0)</f>
        <v>0</v>
      </c>
      <c r="H15" s="26" t="n">
        <f aca="false">MIN(LARGE(Portofoliu!$H$5:$H$19,E15),0)</f>
        <v>-0.293146477250912</v>
      </c>
      <c r="I15" s="24"/>
      <c r="J15" s="24" t="str">
        <f aca="false">B15</f>
        <v>INOD</v>
      </c>
      <c r="K15" s="25" t="n">
        <f aca="false">INDEX(Portofoliu!$E$5:$E$19,MATCH(J15,Portofoliu!$A$5:$A$19,0))</f>
        <v>14369.25</v>
      </c>
      <c r="L15" s="25" t="n">
        <f aca="false">C15</f>
        <v>16172.1</v>
      </c>
      <c r="M15" s="24"/>
      <c r="N15" s="24"/>
      <c r="O15" s="24"/>
    </row>
    <row r="16" customFormat="false" ht="15" hidden="false" customHeight="false" outlineLevel="0" collapsed="false">
      <c r="A16" s="24" t="n">
        <v>13</v>
      </c>
      <c r="B16" s="24" t="str">
        <f aca="false">INDEX(Portofoliu!$A$5:$A$19,MATCH(LARGE(Portofoliu!$F$5:$F$19,A16),Portofoliu!$F$5:$F$19,0))</f>
        <v>OKLO</v>
      </c>
      <c r="C16" s="25" t="n">
        <f aca="false">LARGE(Portofoliu!$F$5:$F$19,A16)</f>
        <v>7364</v>
      </c>
      <c r="D16" s="24"/>
      <c r="E16" s="24" t="n">
        <v>13</v>
      </c>
      <c r="F16" s="24" t="str">
        <f aca="false">INDEX(Portofoliu!$A$5:$A$19,MATCH(LARGE(Portofoliu!$H$5:$H$19,E16),Portofoliu!$H$5:$H$19,0))</f>
        <v>LEU</v>
      </c>
      <c r="G16" s="26" t="n">
        <f aca="false">MAX(LARGE(Portofoliu!$H$5:$H$19,E16),0)</f>
        <v>0</v>
      </c>
      <c r="H16" s="26" t="n">
        <f aca="false">MIN(LARGE(Portofoliu!$H$5:$H$19,E16),0)</f>
        <v>-0.354649122807018</v>
      </c>
      <c r="I16" s="24"/>
      <c r="J16" s="24" t="str">
        <f aca="false">B16</f>
        <v>OKLO</v>
      </c>
      <c r="K16" s="25" t="n">
        <f aca="false">INDEX(Portofoliu!$E$5:$E$19,MATCH(J16,Portofoliu!$A$5:$A$19,0))</f>
        <v>10418</v>
      </c>
      <c r="L16" s="25" t="n">
        <f aca="false">C16</f>
        <v>7364</v>
      </c>
      <c r="M16" s="24"/>
      <c r="N16" s="24"/>
      <c r="O16" s="24"/>
    </row>
    <row r="17" customFormat="false" ht="15" hidden="false" customHeight="false" outlineLevel="0" collapsed="false">
      <c r="A17" s="24" t="n">
        <v>14</v>
      </c>
      <c r="B17" s="24" t="str">
        <f aca="false">INDEX(Portofoliu!$A$5:$A$19,MATCH(LARGE(Portofoliu!$F$5:$F$19,A17),Portofoliu!$F$5:$F$19,0))</f>
        <v>NNE</v>
      </c>
      <c r="C17" s="25" t="n">
        <f aca="false">LARGE(Portofoliu!$F$5:$F$19,A17)</f>
        <v>5075.17</v>
      </c>
      <c r="D17" s="24"/>
      <c r="E17" s="24" t="n">
        <v>14</v>
      </c>
      <c r="F17" s="24" t="str">
        <f aca="false">INDEX(Portofoliu!$A$5:$A$19,MATCH(LARGE(Portofoliu!$H$5:$H$19,E17),Portofoliu!$H$5:$H$19,0))</f>
        <v>UUUU</v>
      </c>
      <c r="G17" s="26" t="n">
        <f aca="false">MAX(LARGE(Portofoliu!$H$5:$H$19,E17),0)</f>
        <v>0</v>
      </c>
      <c r="H17" s="26" t="n">
        <f aca="false">MIN(LARGE(Portofoliu!$H$5:$H$19,E17),0)</f>
        <v>-0.492079207920792</v>
      </c>
      <c r="I17" s="24"/>
      <c r="J17" s="24" t="str">
        <f aca="false">B17</f>
        <v>NNE</v>
      </c>
      <c r="K17" s="25" t="n">
        <f aca="false">INDEX(Portofoliu!$E$5:$E$19,MATCH(J17,Portofoliu!$A$5:$A$19,0))</f>
        <v>10511.72</v>
      </c>
      <c r="L17" s="25" t="n">
        <f aca="false">C17</f>
        <v>5075.17</v>
      </c>
      <c r="M17" s="24"/>
      <c r="N17" s="24"/>
      <c r="O17" s="24"/>
    </row>
    <row r="18" customFormat="false" ht="15" hidden="false" customHeight="false" outlineLevel="0" collapsed="false">
      <c r="A18" s="24" t="n">
        <v>15</v>
      </c>
      <c r="B18" s="24" t="str">
        <f aca="false">INDEX(Portofoliu!$A$5:$A$19,MATCH(LARGE(Portofoliu!$F$5:$F$19,A18),Portofoliu!$F$5:$F$19,0))</f>
        <v>UUUU</v>
      </c>
      <c r="C18" s="25" t="n">
        <f aca="false">LARGE(Portofoliu!$F$5:$F$19,A18)</f>
        <v>3898.8</v>
      </c>
      <c r="D18" s="24"/>
      <c r="E18" s="24" t="n">
        <v>15</v>
      </c>
      <c r="F18" s="24" t="str">
        <f aca="false">INDEX(Portofoliu!$A$5:$A$19,MATCH(LARGE(Portofoliu!$H$5:$H$19,E18),Portofoliu!$H$5:$H$19,0))</f>
        <v>NNE</v>
      </c>
      <c r="G18" s="26" t="n">
        <f aca="false">MAX(LARGE(Portofoliu!$H$5:$H$19,E18),0)</f>
        <v>0</v>
      </c>
      <c r="H18" s="26" t="n">
        <f aca="false">MIN(LARGE(Portofoliu!$H$5:$H$19,E18),0)</f>
        <v>-0.517189384800965</v>
      </c>
      <c r="I18" s="24"/>
      <c r="J18" s="24" t="str">
        <f aca="false">B18</f>
        <v>UUUU</v>
      </c>
      <c r="K18" s="25" t="n">
        <f aca="false">INDEX(Portofoliu!$E$5:$E$19,MATCH(J18,Portofoliu!$A$5:$A$19,0))</f>
        <v>7676</v>
      </c>
      <c r="L18" s="25" t="n">
        <f aca="false">C18</f>
        <v>3898.8</v>
      </c>
      <c r="M18" s="24"/>
      <c r="N18" s="24"/>
      <c r="O18" s="24"/>
    </row>
    <row r="21" customFormat="false" ht="15" hidden="false" customHeight="false" outlineLevel="0" collapsed="false">
      <c r="A21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2.05" hidden="false" customHeight="false" outlineLevel="0" collapsed="false">
      <c r="A1" s="1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2026-10-08T21:10:51Z</dcterms:created>
  <dc:creator>openpyxl</dc:creator>
  <dc:description/>
  <dc:language>en-US</dc:language>
  <cp:lastModifiedBy/>
  <dcterms:modified xsi:type="dcterms:W3CDTF">2026-10-08T21:10:53Z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