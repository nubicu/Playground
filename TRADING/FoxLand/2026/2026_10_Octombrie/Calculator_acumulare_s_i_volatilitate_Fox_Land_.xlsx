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alculator" sheetId="1" r:id="rId4"/>
    <sheet state="visible" name="2. Numerar tactic" sheetId="2" r:id="rId5"/>
    <sheet state="visible" name="3. Exemplul 29 iulie" sheetId="3" r:id="rId6"/>
  </sheets>
  <definedNames/>
  <calcPr/>
</workbook>
</file>

<file path=xl/sharedStrings.xml><?xml version="1.0" encoding="utf-8"?>
<sst xmlns="http://schemas.openxmlformats.org/spreadsheetml/2006/main" count="79" uniqueCount="72">
  <si>
    <t>Cât pot deveni 700 de euro pe lună?</t>
  </si>
  <si>
    <t>Completezi doar căsuțele portocalii · restul se calculează singur · Fox Land</t>
  </si>
  <si>
    <t>Pasul 1 · Datele tale</t>
  </si>
  <si>
    <t>Capital inițial</t>
  </si>
  <si>
    <t>Exemplu din episod: 0 € capital inițial, 700 € pe lună, 5 ani. Încearcă apoi 10.000 € capital inițial ca să vezi diferența.</t>
  </si>
  <si>
    <t>Investiție lunară</t>
  </si>
  <si>
    <t>Număr de ani</t>
  </si>
  <si>
    <t>Pasul 2 · Rezultatul, în cinci scenarii</t>
  </si>
  <si>
    <t>Scenariu</t>
  </si>
  <si>
    <t>Randament anual</t>
  </si>
  <si>
    <t>Total depus de tine</t>
  </si>
  <si>
    <t>Valoare finală</t>
  </si>
  <si>
    <t>Câștig</t>
  </si>
  <si>
    <t>Titluri de stat</t>
  </si>
  <si>
    <t>Piața largă</t>
  </si>
  <si>
    <t>Sector în creștere</t>
  </si>
  <si>
    <t>Ipoteză de ciclu</t>
  </si>
  <si>
    <t>Ipoteză extremă</t>
  </si>
  <si>
    <t>Randamentele sunt anuale și presupuse constante în ciclul actual al cheltuielilor de capital. Scenariile de 45% și 70% sunt ipoteze condiționate, nu estimări. Nu sunt incluse impozitele, comisioanele, inflația și cursul valutar.</t>
  </si>
  <si>
    <t>Bonus · Costul volatilității</t>
  </si>
  <si>
    <t>Schimbă randamentele de mai jos. Vei vedea că media pe care o intuiești nu este randamentul pe care îl primește efectiv capitalul tău.</t>
  </si>
  <si>
    <t>Anul</t>
  </si>
  <si>
    <t>Randament</t>
  </si>
  <si>
    <t>Valoarea unui euro</t>
  </si>
  <si>
    <t>Anul 1</t>
  </si>
  <si>
    <t>Anul 2</t>
  </si>
  <si>
    <t>Anul 3</t>
  </si>
  <si>
    <t>Anul 4</t>
  </si>
  <si>
    <t>Anul 5</t>
  </si>
  <si>
    <t>Media simplă a randamentelor</t>
  </si>
  <si>
    <t>Randamentul anual real</t>
  </si>
  <si>
    <t>Diferența pierdută din volatilitate</t>
  </si>
  <si>
    <t>Instrument educațional, nu sfat financiar. Performanța trecută nu garantează rezultate viitoare. Analizele și harta de acumulare le primești pe newsletter.foxland.ro</t>
  </si>
  <si>
    <t>Complet investit sau cu rezervă tactică?</t>
  </si>
  <si>
    <t>Simulezi o corecție și vezi ce aduce numerarul mobilizat la minim</t>
  </si>
  <si>
    <t>Pasul 1 · Structura ta</t>
  </si>
  <si>
    <t>Cât păstrezi numerar tactic</t>
  </si>
  <si>
    <t>Câte luni acumulezi înainte de corecție</t>
  </si>
  <si>
    <t>Pasul 2 · Scenariul de piață</t>
  </si>
  <si>
    <t>Cât scade piața de la maxim</t>
  </si>
  <si>
    <t>Cât din rezervă investești la minim</t>
  </si>
  <si>
    <t>Unde ajunge prețul la final (0% = revine la vechiul maxim)</t>
  </si>
  <si>
    <t>Pasul 3 · Rezultatul</t>
  </si>
  <si>
    <t>Complet investit</t>
  </si>
  <si>
    <t>Cu rezervă tactică</t>
  </si>
  <si>
    <t>Moment</t>
  </si>
  <si>
    <t>Total depus</t>
  </si>
  <si>
    <t>La minim</t>
  </si>
  <si>
    <t>Valoare la minimul pieței</t>
  </si>
  <si>
    <t>La final</t>
  </si>
  <si>
    <t>Valoare la final</t>
  </si>
  <si>
    <t>Câștig față de ce ai depus</t>
  </si>
  <si>
    <t>Avantajul rezervei tactice</t>
  </si>
  <si>
    <t>Ipoteze simplificate: toate cumpărările dinaintea corecției se fac la prețul maxim, numerarul nu produce dobândă, iar mobilizarea are loc exact la minim, adică scenariul ideal. În realitate, nimeni nu prinde minimul exact.</t>
  </si>
  <si>
    <t>Minimele din 29–30 iulie 2026</t>
  </si>
  <si>
    <t>Cifrele reale din episod · prețuri de închidere în dolari</t>
  </si>
  <si>
    <t>Companie</t>
  </si>
  <si>
    <t>Pe 23 septembrie</t>
  </si>
  <si>
    <t>Revenire</t>
  </si>
  <si>
    <t>Micron</t>
  </si>
  <si>
    <t>NVIDIA</t>
  </si>
  <si>
    <t>Palantir</t>
  </si>
  <si>
    <t>Meta</t>
  </si>
  <si>
    <t>Lumentum</t>
  </si>
  <si>
    <t>Nebius</t>
  </si>
  <si>
    <t>CoreWeave</t>
  </si>
  <si>
    <t>IREN</t>
  </si>
  <si>
    <t>Media</t>
  </si>
  <si>
    <t>Ce ar fi devenit rezerva tactică</t>
  </si>
  <si>
    <t>Sumă investită la minim</t>
  </si>
  <si>
    <t>Valoarea astăzi</t>
  </si>
  <si>
    <t>Exemplu ilustrativ: ponderi egale, cumpărare exact la închiderea din ziua minimului, fără efectul cursului euro–dolar. Sursa prețurilor: StockAnalysis.com (S&amp;P Global Market Intelligence).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</si>
</sst>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&quot; €&quot;;\-#,##0&quot; €&quot;;\-"/>
    <numFmt numFmtId="165" formatCode="0.00&quot; €&quot;"/>
    <numFmt numFmtId="166" formatCode="\$#,##0.00"/>
    <numFmt numFmtId="167" formatCode="\+0%"/>
  </numFmts>
  <fonts count="15">
    <font>
      <sz val="11.0"/>
      <color/>
      <name val="Arial"/>
      <scheme val="minor"/>
    </font>
    <font>
      <sz val="11.0"/>
      <color/>
      <name val="Calibri"/>
    </font>
    <font>
      <b/>
      <sz val="20.0"/>
      <color rgb="FFFFFFFF"/>
      <name val="Arial"/>
    </font>
    <font/>
    <font>
      <i/>
      <sz val="10.0"/>
      <color rgb="FF6A1D05"/>
      <name val="Arial"/>
    </font>
    <font>
      <b/>
      <sz val="13.0"/>
      <color rgb="FFB84A00"/>
      <name val="Arial"/>
    </font>
    <font>
      <sz val="11.0"/>
      <color rgb="FF2B1A10"/>
      <name val="Arial"/>
    </font>
    <font>
      <b/>
      <sz val="12.0"/>
      <color rgb="FF8E2210"/>
      <name val="Arial"/>
    </font>
    <font>
      <i/>
      <sz val="9.0"/>
      <color rgb="FF7A5A45"/>
      <name val="Arial"/>
    </font>
    <font>
      <b/>
      <sz val="10.0"/>
      <color rgb="FFFFFFFF"/>
      <name val="Arial"/>
    </font>
    <font>
      <b/>
      <sz val="11.0"/>
      <color rgb="FF2B1A10"/>
      <name val="Arial"/>
    </font>
    <font>
      <b/>
      <sz val="13.0"/>
      <color rgb="FFFFFFFF"/>
      <name val="Arial"/>
    </font>
    <font>
      <b/>
      <sz val="11.0"/>
      <color rgb="FF6A1D05"/>
      <name val="Arial"/>
    </font>
    <font>
      <b/>
      <sz val="9.0"/>
      <color rgb="FF8E2210"/>
      <name val="Arial"/>
    </font>
    <font>
      <sz val="8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1D05"/>
        <bgColor rgb="FF6A1D05"/>
      </patternFill>
    </fill>
    <fill>
      <patternFill patternType="solid">
        <fgColor rgb="FFF8B970"/>
        <bgColor rgb="FFF8B970"/>
      </patternFill>
    </fill>
    <fill>
      <patternFill patternType="solid">
        <fgColor rgb="FFFFF7EE"/>
        <bgColor rgb="FFFFF7EE"/>
      </patternFill>
    </fill>
    <fill>
      <patternFill patternType="solid">
        <fgColor rgb="FFFDE3C4"/>
        <bgColor rgb="FFFDE3C4"/>
      </patternFill>
    </fill>
    <fill>
      <patternFill patternType="solid">
        <fgColor rgb="FFCB5210"/>
        <bgColor rgb="FFCB521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BC9A3"/>
      </left>
      <right style="thin">
        <color rgb="FFEBC9A3"/>
      </right>
      <top style="thin">
        <color rgb="FFEBC9A3"/>
      </top>
      <bottom style="thin">
        <color rgb="FFEBC9A3"/>
      </bottom>
    </border>
    <border>
      <left style="medium">
        <color rgb="FFCB5210"/>
      </left>
      <right style="medium">
        <color rgb="FFCB5210"/>
      </right>
      <top style="medium">
        <color rgb="FFCB5210"/>
      </top>
      <bottom style="medium">
        <color rgb="FFCB521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EBC9A3"/>
      </left>
      <top style="thin">
        <color rgb="FFEBC9A3"/>
      </top>
      <bottom style="thin">
        <color rgb="FFEBC9A3"/>
      </bottom>
    </border>
    <border>
      <right/>
      <top style="thin">
        <color rgb="FFEBC9A3"/>
      </top>
      <bottom style="thin">
        <color rgb="FFEBC9A3"/>
      </bottom>
    </border>
    <border>
      <right style="thin">
        <color rgb="FFEBC9A3"/>
      </right>
      <top style="thin">
        <color rgb="FFEBC9A3"/>
      </top>
      <bottom style="thin">
        <color rgb="FFEBC9A3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4" fontId="4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shrinkToFit="0" vertical="bottom" wrapText="0"/>
    </xf>
    <xf borderId="5" fillId="5" fontId="6" numFmtId="0" xfId="0" applyAlignment="1" applyBorder="1" applyFill="1" applyFont="1">
      <alignment shrinkToFit="0" vertical="center" wrapText="1"/>
    </xf>
    <xf borderId="6" fillId="6" fontId="7" numFmtId="164" xfId="0" applyAlignment="1" applyBorder="1" applyFill="1" applyFont="1" applyNumberFormat="1">
      <alignment horizontal="center" shrinkToFit="0" vertical="center" wrapText="0"/>
    </xf>
    <xf borderId="7" fillId="2" fontId="8" numFmtId="0" xfId="0" applyAlignment="1" applyBorder="1" applyFill="1" applyFont="1">
      <alignment shrinkToFit="0" vertical="top" wrapText="1"/>
    </xf>
    <xf borderId="8" fillId="0" fontId="3" numFmtId="0" xfId="0" applyBorder="1" applyFont="1"/>
    <xf borderId="9" fillId="0" fontId="3" numFmtId="0" xfId="0" applyBorder="1" applyFont="1"/>
    <xf borderId="6" fillId="6" fontId="7" numFmtId="164" xfId="0" applyAlignment="1" applyBorder="1" applyFill="1" applyFont="1" applyNumberFormat="1">
      <alignment horizontal="center" readingOrder="0" shrinkToFit="0" vertical="center" wrapText="0"/>
    </xf>
    <xf borderId="10" fillId="0" fontId="3" numFmtId="0" xfId="0" applyBorder="1" applyFont="1"/>
    <xf borderId="11" fillId="0" fontId="3" numFmtId="0" xfId="0" applyBorder="1" applyFont="1"/>
    <xf borderId="6" fillId="6" fontId="7" numFmtId="1" xfId="0" applyAlignment="1" applyBorder="1" applyFill="1" applyFont="1" applyNumberFormat="1">
      <alignment horizontal="center" shrinkToFit="0" vertical="center" wrapText="0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3" fontId="9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ill="1" applyFont="1">
      <alignment shrinkToFit="0" vertical="center" wrapText="1"/>
    </xf>
    <xf borderId="6" fillId="6" fontId="7" numFmtId="9" xfId="0" applyAlignment="1" applyBorder="1" applyFill="1" applyFont="1" applyNumberFormat="1">
      <alignment horizontal="center" shrinkToFit="0" vertical="center" wrapText="0"/>
    </xf>
    <xf borderId="5" fillId="2" fontId="6" numFmtId="164" xfId="0" applyAlignment="1" applyBorder="1" applyFill="1" applyFont="1" applyNumberFormat="1">
      <alignment horizontal="center" shrinkToFit="0" vertical="center" wrapText="0"/>
    </xf>
    <xf borderId="5" fillId="7" fontId="11" numFmtId="164" xfId="0" applyAlignment="1" applyBorder="1" applyFill="1" applyFont="1" applyNumberFormat="1">
      <alignment horizontal="center" shrinkToFit="0" vertical="center" wrapText="0"/>
    </xf>
    <xf borderId="5" fillId="4" fontId="12" numFmtId="164" xfId="0" applyAlignment="1" applyBorder="1" applyFill="1" applyFont="1" applyNumberFormat="1">
      <alignment horizontal="center" shrinkToFit="0" vertical="center" wrapText="0"/>
    </xf>
    <xf borderId="2" fillId="2" fontId="8" numFmtId="0" xfId="0" applyAlignment="1" applyBorder="1" applyFill="1" applyFont="1">
      <alignment shrinkToFit="0" vertical="top" wrapText="1"/>
    </xf>
    <xf borderId="5" fillId="2" fontId="6" numFmtId="165" xfId="0" applyAlignment="1" applyBorder="1" applyFill="1" applyFont="1" applyNumberFormat="1">
      <alignment horizontal="center" shrinkToFit="0" vertical="center" wrapText="0"/>
    </xf>
    <xf borderId="5" fillId="4" fontId="12" numFmtId="9" xfId="0" applyAlignment="1" applyBorder="1" applyFill="1" applyFont="1" applyNumberFormat="1">
      <alignment horizontal="center" shrinkToFit="0" vertical="center" wrapText="0"/>
    </xf>
    <xf borderId="5" fillId="7" fontId="11" numFmtId="9" xfId="0" applyAlignment="1" applyBorder="1" applyFill="1" applyFont="1" applyNumberFormat="1">
      <alignment horizontal="center" shrinkToFit="0" vertical="center" wrapText="0"/>
    </xf>
    <xf borderId="1" fillId="2" fontId="13" numFmtId="0" xfId="0" applyAlignment="1" applyBorder="1" applyFill="1" applyFont="1">
      <alignment shrinkToFit="0" vertical="bottom" wrapText="0"/>
    </xf>
    <xf borderId="1" fillId="2" fontId="14" numFmtId="0" xfId="0" applyAlignment="1" applyBorder="1" applyFill="1" applyFont="1">
      <alignment shrinkToFit="0" vertical="bottom" wrapText="0"/>
    </xf>
    <xf borderId="1" fillId="2" fontId="14" numFmtId="10" xfId="0" applyAlignment="1" applyBorder="1" applyFill="1" applyFont="1" applyNumberFormat="1">
      <alignment shrinkToFit="0" vertical="bottom" wrapText="0"/>
    </xf>
    <xf borderId="1" fillId="2" fontId="14" numFmtId="164" xfId="0" applyAlignment="1" applyBorder="1" applyFill="1" applyFont="1" applyNumberFormat="1">
      <alignment shrinkToFit="0" vertical="bottom" wrapText="0"/>
    </xf>
    <xf borderId="15" fillId="7" fontId="11" numFmtId="164" xfId="0" applyAlignment="1" applyBorder="1" applyFill="1" applyFont="1" applyNumberFormat="1">
      <alignment horizontal="center" shrinkToFit="0" vertical="center" wrapText="0"/>
    </xf>
    <xf borderId="16" fillId="0" fontId="3" numFmtId="0" xfId="0" applyBorder="1" applyFont="1"/>
    <xf borderId="5" fillId="2" fontId="6" numFmtId="166" xfId="0" applyAlignment="1" applyBorder="1" applyFill="1" applyFont="1" applyNumberFormat="1">
      <alignment horizontal="center" shrinkToFit="0" vertical="center" wrapText="0"/>
    </xf>
    <xf borderId="5" fillId="4" fontId="12" numFmtId="167" xfId="0" applyAlignment="1" applyBorder="1" applyFill="1" applyFont="1" applyNumberFormat="1">
      <alignment horizontal="center" shrinkToFit="0" vertical="center" wrapText="0"/>
    </xf>
    <xf borderId="2" fillId="2" fontId="1" numFmtId="0" xfId="0" applyAlignment="1" applyBorder="1" applyFill="1" applyFont="1">
      <alignment shrinkToFit="0" vertical="bottom" wrapText="0"/>
    </xf>
    <xf borderId="5" fillId="7" fontId="11" numFmtId="167" xfId="0" applyAlignment="1" applyBorder="1" applyFill="1" applyFont="1" applyNumberFormat="1">
      <alignment horizontal="center" shrinkToFit="0" vertical="center" wrapText="0"/>
    </xf>
    <xf borderId="15" fillId="5" fontId="6" numFmtId="0" xfId="0" applyAlignment="1" applyBorder="1" applyFill="1" applyFont="1">
      <alignment shrinkToFit="0" vertical="center" wrapText="1"/>
    </xf>
    <xf borderId="1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Ce depui tu vs. cât poate deveni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depus de tine</c:v>
          </c:tx>
          <c:spPr>
            <a:solidFill>
              <a:srgbClr val="F8B970"/>
            </a:solidFill>
            <a:ln cmpd="sng">
              <a:noFill/>
            </a:ln>
          </c:spPr>
          <c:cat>
            <c:strRef>
              <c:f>'1. Calculator'!$B$12:$B$16</c:f>
            </c:strRef>
          </c:cat>
          <c:val>
            <c:numRef>
              <c:f>'1. Calculator'!$D$12:$D$16</c:f>
              <c:numCache/>
            </c:numRef>
          </c:val>
        </c:ser>
        <c:ser>
          <c:idx val="1"/>
          <c:order val="1"/>
          <c:tx>
            <c:v>Valoare finală</c:v>
          </c:tx>
          <c:spPr>
            <a:solidFill>
              <a:srgbClr val="CB5210"/>
            </a:solidFill>
            <a:ln cmpd="sng">
              <a:noFill/>
            </a:ln>
          </c:spPr>
          <c:cat>
            <c:strRef>
              <c:f>'1. Calculator'!$B$12:$B$16</c:f>
            </c:strRef>
          </c:cat>
          <c:val>
            <c:numRef>
              <c:f>'1. Calculator'!$E$12:$E$16</c:f>
              <c:numCache/>
            </c:numRef>
          </c:val>
        </c:ser>
        <c:axId val="1966567398"/>
        <c:axId val="496392684"/>
      </c:barChart>
      <c:catAx>
        <c:axId val="1966567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6392684"/>
      </c:catAx>
      <c:valAx>
        <c:axId val="4963926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6567398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La minim și la final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Complet investit</c:v>
          </c:tx>
          <c:spPr>
            <a:solidFill>
              <a:srgbClr val="F8B970"/>
            </a:solidFill>
            <a:ln cmpd="sng">
              <a:noFill/>
            </a:ln>
          </c:spPr>
          <c:cat>
            <c:strRef>
              <c:f>'2. Numerar tactic'!$J$17:$J$18</c:f>
            </c:strRef>
          </c:cat>
          <c:val>
            <c:numRef>
              <c:f>'2. Numerar tactic'!$K$17:$K$18</c:f>
              <c:numCache/>
            </c:numRef>
          </c:val>
        </c:ser>
        <c:ser>
          <c:idx val="1"/>
          <c:order val="1"/>
          <c:tx>
            <c:v>Cu rezervă tactică</c:v>
          </c:tx>
          <c:spPr>
            <a:solidFill>
              <a:srgbClr val="CB5210"/>
            </a:solidFill>
            <a:ln cmpd="sng">
              <a:noFill/>
            </a:ln>
          </c:spPr>
          <c:cat>
            <c:strRef>
              <c:f>'2. Numerar tactic'!$J$17:$J$18</c:f>
            </c:strRef>
          </c:cat>
          <c:val>
            <c:numRef>
              <c:f>'2. Numerar tactic'!$L$17:$L$18</c:f>
              <c:numCache/>
            </c:numRef>
          </c:val>
        </c:ser>
        <c:axId val="1796952994"/>
        <c:axId val="696268092"/>
      </c:barChart>
      <c:catAx>
        <c:axId val="1796952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96268092"/>
      </c:catAx>
      <c:valAx>
        <c:axId val="6962680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6952994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Revenirea de la minimul local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Revenire</c:v>
          </c:tx>
          <c:spPr>
            <a:solidFill>
              <a:srgbClr val="CB5210"/>
            </a:solidFill>
            <a:ln cmpd="sng">
              <a:noFill/>
            </a:ln>
          </c:spPr>
          <c:cat>
            <c:strRef>
              <c:f>'3. Exemplul 29 iulie'!$B$6:$B$13</c:f>
            </c:strRef>
          </c:cat>
          <c:val>
            <c:numRef>
              <c:f>'3. Exemplul 29 iulie'!$E$6:$E$13</c:f>
              <c:numCache/>
            </c:numRef>
          </c:val>
        </c:ser>
        <c:axId val="779515444"/>
        <c:axId val="1975587357"/>
      </c:barChart>
      <c:catAx>
        <c:axId val="7795154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5587357"/>
      </c:catAx>
      <c:valAx>
        <c:axId val="1975587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9515444"/>
        <c:crosses val="max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152400</xdr:rowOff>
    </xdr:from>
    <xdr:ext cx="6467475" cy="3019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24</xdr:row>
      <xdr:rowOff>142875</xdr:rowOff>
    </xdr:from>
    <xdr:ext cx="5457825" cy="2828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152400</xdr:rowOff>
    </xdr:from>
    <xdr:ext cx="5476875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6" width="16.0"/>
    <col customWidth="1" min="7" max="7" width="2.0"/>
    <col customWidth="1" min="8" max="12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2.0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</row>
    <row r="3" ht="21.75" customHeight="1">
      <c r="A3" s="1"/>
      <c r="B3" s="5" t="s">
        <v>1</v>
      </c>
      <c r="C3" s="3"/>
      <c r="D3" s="3"/>
      <c r="E3" s="3"/>
      <c r="F3" s="4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6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ht="24.0" customHeight="1">
      <c r="A6" s="1"/>
      <c r="B6" s="7" t="s">
        <v>3</v>
      </c>
      <c r="C6" s="8">
        <v>0.0</v>
      </c>
      <c r="D6" s="9" t="s">
        <v>4</v>
      </c>
      <c r="E6" s="10"/>
      <c r="F6" s="11"/>
      <c r="G6" s="1"/>
      <c r="H6" s="1"/>
      <c r="I6" s="1"/>
      <c r="J6" s="1"/>
      <c r="K6" s="1"/>
      <c r="L6" s="1"/>
    </row>
    <row r="7" ht="24.0" customHeight="1">
      <c r="A7" s="1"/>
      <c r="B7" s="7" t="s">
        <v>5</v>
      </c>
      <c r="C7" s="12">
        <v>700.0</v>
      </c>
      <c r="D7" s="13"/>
      <c r="F7" s="14"/>
      <c r="G7" s="1"/>
      <c r="H7" s="1"/>
      <c r="I7" s="1"/>
      <c r="J7" s="1"/>
      <c r="K7" s="1"/>
      <c r="L7" s="1"/>
    </row>
    <row r="8" ht="24.0" customHeight="1">
      <c r="A8" s="1"/>
      <c r="B8" s="7" t="s">
        <v>6</v>
      </c>
      <c r="C8" s="15">
        <v>5.0</v>
      </c>
      <c r="D8" s="16"/>
      <c r="E8" s="17"/>
      <c r="F8" s="18"/>
      <c r="G8" s="1"/>
      <c r="H8" s="1"/>
      <c r="I8" s="1"/>
      <c r="J8" s="1"/>
      <c r="K8" s="1"/>
      <c r="L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>
      <c r="A10" s="1"/>
      <c r="B10" s="6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33.75" customHeight="1">
      <c r="A11" s="1"/>
      <c r="B11" s="19" t="s">
        <v>8</v>
      </c>
      <c r="C11" s="19" t="s">
        <v>9</v>
      </c>
      <c r="D11" s="19" t="s">
        <v>10</v>
      </c>
      <c r="E11" s="19" t="s">
        <v>11</v>
      </c>
      <c r="F11" s="19" t="s">
        <v>12</v>
      </c>
      <c r="G11" s="1"/>
      <c r="H11" s="1"/>
      <c r="I11" s="1"/>
      <c r="J11" s="1"/>
      <c r="K11" s="1"/>
      <c r="L11" s="1"/>
    </row>
    <row r="12" ht="24.0" customHeight="1">
      <c r="A12" s="1"/>
      <c r="B12" s="20" t="s">
        <v>13</v>
      </c>
      <c r="C12" s="21">
        <v>0.07</v>
      </c>
      <c r="D12" s="22" t="str">
        <f t="shared" ref="D12:D16" si="1">$C$6+$C$7*12*$C$8</f>
        <v>42,000 €</v>
      </c>
      <c r="E12" s="23" t="str">
        <f t="shared" ref="E12:E16" si="2">$C$6*(1+C12)^$C$8+IF(C12=0,$C$7*12*$C$8,$C$7*((1+((1+C12)^(1/12)-1))^(12*$C$8)-1)/((1+C12)^(1/12)-1))</f>
        <v>49,837 €</v>
      </c>
      <c r="F12" s="24" t="str">
        <f t="shared" ref="F12:F16" si="3">E12-D12</f>
        <v>7,837 €</v>
      </c>
      <c r="G12" s="1"/>
      <c r="H12" s="1"/>
      <c r="I12" s="1"/>
      <c r="J12" s="1"/>
      <c r="K12" s="1"/>
      <c r="L12" s="1"/>
    </row>
    <row r="13" ht="24.0" customHeight="1">
      <c r="A13" s="1"/>
      <c r="B13" s="20" t="s">
        <v>14</v>
      </c>
      <c r="C13" s="21">
        <v>0.15</v>
      </c>
      <c r="D13" s="22" t="str">
        <f t="shared" si="1"/>
        <v>42,000 €</v>
      </c>
      <c r="E13" s="23" t="str">
        <f t="shared" si="2"/>
        <v>60,432 €</v>
      </c>
      <c r="F13" s="24" t="str">
        <f t="shared" si="3"/>
        <v>18,432 €</v>
      </c>
      <c r="G13" s="1"/>
      <c r="H13" s="1"/>
      <c r="I13" s="1"/>
      <c r="J13" s="1"/>
      <c r="K13" s="1"/>
      <c r="L13" s="1"/>
    </row>
    <row r="14" ht="24.0" customHeight="1">
      <c r="A14" s="1"/>
      <c r="B14" s="20" t="s">
        <v>15</v>
      </c>
      <c r="C14" s="21">
        <v>0.25</v>
      </c>
      <c r="D14" s="22" t="str">
        <f t="shared" si="1"/>
        <v>42,000 €</v>
      </c>
      <c r="E14" s="23" t="str">
        <f t="shared" si="2"/>
        <v>76,520 €</v>
      </c>
      <c r="F14" s="24" t="str">
        <f t="shared" si="3"/>
        <v>34,520 €</v>
      </c>
      <c r="G14" s="1"/>
      <c r="H14" s="1"/>
      <c r="I14" s="1"/>
      <c r="J14" s="1"/>
      <c r="K14" s="1"/>
      <c r="L14" s="1"/>
    </row>
    <row r="15" ht="24.0" customHeight="1">
      <c r="A15" s="1"/>
      <c r="B15" s="20" t="s">
        <v>16</v>
      </c>
      <c r="C15" s="21">
        <v>0.45</v>
      </c>
      <c r="D15" s="22" t="str">
        <f t="shared" si="1"/>
        <v>42,000 €</v>
      </c>
      <c r="E15" s="23" t="str">
        <f t="shared" si="2"/>
        <v>120,415 €</v>
      </c>
      <c r="F15" s="24" t="str">
        <f t="shared" si="3"/>
        <v>78,415 €</v>
      </c>
      <c r="G15" s="1"/>
      <c r="H15" s="1"/>
      <c r="I15" s="1"/>
      <c r="J15" s="1"/>
      <c r="K15" s="1"/>
      <c r="L15" s="1"/>
    </row>
    <row r="16" ht="24.0" customHeight="1">
      <c r="A16" s="1"/>
      <c r="B16" s="20" t="s">
        <v>17</v>
      </c>
      <c r="C16" s="21">
        <v>0.7</v>
      </c>
      <c r="D16" s="22" t="str">
        <f t="shared" si="1"/>
        <v>42,000 €</v>
      </c>
      <c r="E16" s="23" t="str">
        <f t="shared" si="2"/>
        <v>204,352 €</v>
      </c>
      <c r="F16" s="24" t="str">
        <f t="shared" si="3"/>
        <v>162,352 €</v>
      </c>
      <c r="G16" s="1"/>
      <c r="H16" s="1"/>
      <c r="I16" s="1"/>
      <c r="J16" s="1"/>
      <c r="K16" s="1"/>
      <c r="L16" s="1"/>
    </row>
    <row r="17" ht="30.0" customHeight="1">
      <c r="A17" s="1"/>
      <c r="B17" s="25" t="s">
        <v>18</v>
      </c>
      <c r="C17" s="3"/>
      <c r="D17" s="3"/>
      <c r="E17" s="3"/>
      <c r="F17" s="4"/>
      <c r="G17" s="1"/>
      <c r="H17" s="1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6" t="s">
        <v>19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30.0" customHeight="1">
      <c r="A37" s="1"/>
      <c r="B37" s="25" t="s">
        <v>20</v>
      </c>
      <c r="C37" s="3"/>
      <c r="D37" s="3"/>
      <c r="E37" s="3"/>
      <c r="F37" s="4"/>
      <c r="G37" s="1"/>
      <c r="H37" s="1"/>
      <c r="I37" s="1"/>
      <c r="J37" s="1"/>
      <c r="K37" s="1"/>
      <c r="L37" s="1"/>
    </row>
    <row r="38" ht="33.75" customHeight="1">
      <c r="A38" s="1"/>
      <c r="B38" s="19" t="s">
        <v>21</v>
      </c>
      <c r="C38" s="19" t="s">
        <v>22</v>
      </c>
      <c r="D38" s="19" t="s">
        <v>23</v>
      </c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7" t="s">
        <v>24</v>
      </c>
      <c r="C39" s="21">
        <v>0.7</v>
      </c>
      <c r="D39" s="26" t="str">
        <f>1+C39</f>
        <v>1.70 €</v>
      </c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7" t="s">
        <v>25</v>
      </c>
      <c r="C40" s="21">
        <v>0.7</v>
      </c>
      <c r="D40" s="26" t="str">
        <f t="shared" ref="D40:D43" si="4">D39*(1+C40)</f>
        <v>2.89 €</v>
      </c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7" t="s">
        <v>26</v>
      </c>
      <c r="C41" s="21">
        <v>0.7</v>
      </c>
      <c r="D41" s="26" t="str">
        <f t="shared" si="4"/>
        <v>4.91 €</v>
      </c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7" t="s">
        <v>27</v>
      </c>
      <c r="C42" s="21">
        <v>0.7</v>
      </c>
      <c r="D42" s="26" t="str">
        <f t="shared" si="4"/>
        <v>8.35 €</v>
      </c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7" t="s">
        <v>28</v>
      </c>
      <c r="C43" s="21">
        <v>-0.4</v>
      </c>
      <c r="D43" s="26" t="str">
        <f t="shared" si="4"/>
        <v>5.01 €</v>
      </c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20" t="s">
        <v>29</v>
      </c>
      <c r="C45" s="27" t="str">
        <f>AVERAGE(C39:C43)</f>
        <v>48%</v>
      </c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20" t="s">
        <v>30</v>
      </c>
      <c r="C46" s="28" t="str">
        <f>D43^(1/5)-1</f>
        <v>38%</v>
      </c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20" t="s">
        <v>31</v>
      </c>
      <c r="C47" s="27" t="str">
        <f>C45-C46</f>
        <v>10%</v>
      </c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29" t="s">
        <v>32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B2:F2"/>
    <mergeCell ref="B3:F3"/>
    <mergeCell ref="D6:F8"/>
    <mergeCell ref="B17:F17"/>
    <mergeCell ref="B37:F37"/>
  </mergeCells>
  <dataValidations>
    <dataValidation type="decimal" allowBlank="1" sqref="C6:C7">
      <formula1>0.0</formula1>
      <formula2>1.0E8</formula2>
    </dataValidation>
    <dataValidation type="decimal" allowBlank="1" sqref="C8">
      <formula1>1.0</formula1>
      <formula2>40.0</formula2>
    </dataValidation>
    <dataValidation type="decimal" allowBlank="1" sqref="C12:C16 C39:C43">
      <formula1>-0.5</formula1>
      <formula2>3.0</formula2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4" width="18.0"/>
    <col customWidth="1" min="5" max="5" width="2.0"/>
    <col customWidth="1" min="6" max="6" width="8.71"/>
    <col customWidth="1" hidden="1" min="7" max="8" width="13.0"/>
    <col customWidth="1" min="9" max="12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2.0" customHeight="1">
      <c r="A2" s="1"/>
      <c r="B2" s="2" t="s">
        <v>33</v>
      </c>
      <c r="C2" s="3"/>
      <c r="D2" s="4"/>
      <c r="E2" s="1"/>
      <c r="F2" s="1"/>
      <c r="G2" s="1"/>
      <c r="H2" s="1"/>
      <c r="I2" s="1"/>
      <c r="J2" s="1"/>
      <c r="K2" s="1"/>
      <c r="L2" s="1"/>
    </row>
    <row r="3" ht="21.75" customHeight="1">
      <c r="A3" s="1"/>
      <c r="B3" s="5" t="s">
        <v>34</v>
      </c>
      <c r="C3" s="3"/>
      <c r="D3" s="4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6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ht="24.0" customHeight="1">
      <c r="A6" s="1"/>
      <c r="B6" s="7" t="s">
        <v>5</v>
      </c>
      <c r="C6" s="8">
        <v>700.0</v>
      </c>
      <c r="D6" s="1"/>
      <c r="E6" s="1"/>
      <c r="F6" s="1"/>
      <c r="G6" s="30" t="str">
        <f>C6*C8</f>
        <v>4900</v>
      </c>
      <c r="H6" s="30" t="str">
        <f>G6</f>
        <v>4900</v>
      </c>
      <c r="I6" s="1"/>
      <c r="J6" s="1"/>
      <c r="K6" s="1"/>
      <c r="L6" s="1"/>
    </row>
    <row r="7" ht="24.0" customHeight="1">
      <c r="A7" s="1"/>
      <c r="B7" s="7" t="s">
        <v>36</v>
      </c>
      <c r="C7" s="21">
        <v>0.3</v>
      </c>
      <c r="D7" s="1"/>
      <c r="E7" s="1"/>
      <c r="F7" s="1"/>
      <c r="G7" s="30" t="str">
        <f>C6*C7*C8</f>
        <v>1470</v>
      </c>
      <c r="H7" s="30" t="str">
        <f>G6-G7+G8/G9</f>
        <v>5320</v>
      </c>
      <c r="I7" s="1"/>
      <c r="J7" s="1"/>
      <c r="K7" s="1"/>
      <c r="L7" s="1"/>
    </row>
    <row r="8" ht="24.0" customHeight="1">
      <c r="A8" s="1"/>
      <c r="B8" s="7" t="s">
        <v>37</v>
      </c>
      <c r="C8" s="15">
        <v>7.0</v>
      </c>
      <c r="D8" s="1"/>
      <c r="E8" s="1"/>
      <c r="F8" s="1"/>
      <c r="G8" s="30" t="str">
        <f>G7*C12</f>
        <v>1323</v>
      </c>
      <c r="H8" s="1"/>
      <c r="I8" s="1"/>
      <c r="J8" s="1"/>
      <c r="K8" s="1"/>
      <c r="L8" s="1"/>
    </row>
    <row r="9">
      <c r="A9" s="1"/>
      <c r="B9" s="1"/>
      <c r="C9" s="1"/>
      <c r="D9" s="1"/>
      <c r="E9" s="1"/>
      <c r="F9" s="1"/>
      <c r="G9" s="31" t="str">
        <f>1+C11</f>
        <v>70.00%</v>
      </c>
      <c r="H9" s="1"/>
      <c r="I9" s="1"/>
      <c r="J9" s="1"/>
      <c r="K9" s="1"/>
      <c r="L9" s="1"/>
    </row>
    <row r="10">
      <c r="A10" s="1"/>
      <c r="B10" s="6" t="s">
        <v>38</v>
      </c>
      <c r="C10" s="1"/>
      <c r="D10" s="1"/>
      <c r="E10" s="1"/>
      <c r="F10" s="1"/>
      <c r="G10" s="31" t="str">
        <f>1+C13</f>
        <v>100.00%</v>
      </c>
      <c r="H10" s="1"/>
      <c r="I10" s="1"/>
      <c r="J10" s="1"/>
      <c r="K10" s="1"/>
      <c r="L10" s="1"/>
    </row>
    <row r="11" ht="30.0" customHeight="1">
      <c r="A11" s="1"/>
      <c r="B11" s="7" t="s">
        <v>39</v>
      </c>
      <c r="C11" s="21">
        <v>-0.3</v>
      </c>
      <c r="D11" s="1"/>
      <c r="E11" s="1"/>
      <c r="F11" s="1"/>
      <c r="G11" s="1"/>
      <c r="H11" s="1"/>
      <c r="I11" s="1"/>
      <c r="J11" s="1"/>
      <c r="K11" s="1"/>
      <c r="L11" s="1"/>
    </row>
    <row r="12" ht="30.0" customHeight="1">
      <c r="A12" s="1"/>
      <c r="B12" s="7" t="s">
        <v>40</v>
      </c>
      <c r="C12" s="21">
        <v>0.9</v>
      </c>
      <c r="D12" s="1"/>
      <c r="E12" s="1"/>
      <c r="F12" s="1"/>
      <c r="G12" s="1"/>
      <c r="H12" s="1"/>
      <c r="I12" s="1"/>
      <c r="J12" s="1"/>
      <c r="K12" s="1"/>
      <c r="L12" s="1"/>
    </row>
    <row r="13" ht="30.0" customHeight="1">
      <c r="A13" s="1"/>
      <c r="B13" s="7" t="s">
        <v>41</v>
      </c>
      <c r="C13" s="21">
        <v>0.0</v>
      </c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6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33.75" customHeight="1">
      <c r="A16" s="1"/>
      <c r="B16" s="19"/>
      <c r="C16" s="19" t="s">
        <v>43</v>
      </c>
      <c r="D16" s="19" t="s">
        <v>44</v>
      </c>
      <c r="E16" s="1"/>
      <c r="F16" s="1"/>
      <c r="G16" s="1"/>
      <c r="H16" s="1"/>
      <c r="I16" s="1"/>
      <c r="J16" s="30" t="s">
        <v>45</v>
      </c>
      <c r="K16" s="30" t="s">
        <v>43</v>
      </c>
      <c r="L16" s="30" t="s">
        <v>44</v>
      </c>
    </row>
    <row r="17" ht="25.5" customHeight="1">
      <c r="A17" s="1"/>
      <c r="B17" s="20" t="s">
        <v>46</v>
      </c>
      <c r="C17" s="22" t="str">
        <f>G6</f>
        <v>4,900 €</v>
      </c>
      <c r="D17" s="22" t="str">
        <f>G6</f>
        <v>4,900 €</v>
      </c>
      <c r="E17" s="1"/>
      <c r="F17" s="1"/>
      <c r="G17" s="1"/>
      <c r="H17" s="1"/>
      <c r="I17" s="1"/>
      <c r="J17" s="30" t="s">
        <v>47</v>
      </c>
      <c r="K17" s="32" t="str">
        <f t="shared" ref="K17:L17" si="1">C18</f>
        <v>3,430 €</v>
      </c>
      <c r="L17" s="32" t="str">
        <f t="shared" si="1"/>
        <v>3,871 €</v>
      </c>
    </row>
    <row r="18" ht="25.5" customHeight="1">
      <c r="A18" s="1"/>
      <c r="B18" s="20" t="s">
        <v>48</v>
      </c>
      <c r="C18" s="22" t="str">
        <f>H6*G9</f>
        <v>3,430 €</v>
      </c>
      <c r="D18" s="22" t="str">
        <f>(G6-G7)*G9+G7</f>
        <v>3,871 €</v>
      </c>
      <c r="E18" s="1"/>
      <c r="F18" s="1"/>
      <c r="G18" s="1"/>
      <c r="H18" s="1"/>
      <c r="I18" s="1"/>
      <c r="J18" s="30" t="s">
        <v>49</v>
      </c>
      <c r="K18" s="32" t="str">
        <f t="shared" ref="K18:L18" si="2">C19</f>
        <v>4,900 €</v>
      </c>
      <c r="L18" s="32" t="str">
        <f t="shared" si="2"/>
        <v>5,467 €</v>
      </c>
    </row>
    <row r="19" ht="25.5" customHeight="1">
      <c r="A19" s="1"/>
      <c r="B19" s="20" t="s">
        <v>50</v>
      </c>
      <c r="C19" s="23" t="str">
        <f>H6*G10</f>
        <v>4,900 €</v>
      </c>
      <c r="D19" s="23" t="str">
        <f>H7*G10+(G7-G8)</f>
        <v>5,467 €</v>
      </c>
      <c r="E19" s="1"/>
      <c r="F19" s="1"/>
      <c r="G19" s="1"/>
      <c r="H19" s="1"/>
      <c r="I19" s="1"/>
      <c r="J19" s="1"/>
      <c r="K19" s="1"/>
      <c r="L19" s="1"/>
    </row>
    <row r="20" ht="25.5" customHeight="1">
      <c r="A20" s="1"/>
      <c r="B20" s="20" t="s">
        <v>51</v>
      </c>
      <c r="C20" s="24" t="str">
        <f t="shared" ref="C20:D20" si="3">C19-C17</f>
        <v>-</v>
      </c>
      <c r="D20" s="24" t="str">
        <f t="shared" si="3"/>
        <v>567 €</v>
      </c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27.75" customHeight="1">
      <c r="A22" s="1"/>
      <c r="B22" s="20" t="s">
        <v>52</v>
      </c>
      <c r="C22" s="33" t="str">
        <f>D19-C19</f>
        <v>567 €</v>
      </c>
      <c r="D22" s="34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42.0" customHeight="1">
      <c r="A24" s="1"/>
      <c r="B24" s="25" t="s">
        <v>53</v>
      </c>
      <c r="C24" s="3"/>
      <c r="D24" s="4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29" t="s">
        <v>32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B2:D2"/>
    <mergeCell ref="B3:D3"/>
    <mergeCell ref="C22:D22"/>
    <mergeCell ref="B24:D24"/>
  </mergeCells>
  <dataValidations>
    <dataValidation type="decimal" allowBlank="1" sqref="C11">
      <formula1>-0.95</formula1>
      <formula2>0.0</formula2>
    </dataValidation>
    <dataValidation type="decimal" allowBlank="1" sqref="C6">
      <formula1>0.0</formula1>
      <formula2>1.0E8</formula2>
    </dataValidation>
    <dataValidation type="decimal" allowBlank="1" sqref="C7 C12">
      <formula1>0.0</formula1>
      <formula2>1.0</formula2>
    </dataValidation>
    <dataValidation type="decimal" allowBlank="1" sqref="C8">
      <formula1>1.0</formula1>
      <formula2>120.0</formula2>
    </dataValidation>
    <dataValidation type="decimal" allowBlank="1" sqref="C13">
      <formula1>-0.9</formula1>
      <formula2>5.0</formula2>
    </dataValidation>
  </dataValidations>
  <printOptions/>
  <pageMargins bottom="1.0" footer="0.0" header="0.0" left="0.75" right="0.7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5" width="18.0"/>
    <col customWidth="1" min="6" max="6" width="2.0"/>
    <col customWidth="1" min="7" max="12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2.0" customHeight="1">
      <c r="A2" s="1"/>
      <c r="B2" s="2" t="s">
        <v>54</v>
      </c>
      <c r="C2" s="3"/>
      <c r="D2" s="3"/>
      <c r="E2" s="4"/>
      <c r="F2" s="1"/>
      <c r="G2" s="1"/>
      <c r="H2" s="1"/>
      <c r="I2" s="1"/>
      <c r="J2" s="1"/>
      <c r="K2" s="1"/>
      <c r="L2" s="1"/>
    </row>
    <row r="3" ht="21.75" customHeight="1">
      <c r="A3" s="1"/>
      <c r="B3" s="5" t="s">
        <v>55</v>
      </c>
      <c r="C3" s="3"/>
      <c r="D3" s="3"/>
      <c r="E3" s="4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3.75" customHeight="1">
      <c r="A5" s="1"/>
      <c r="B5" s="19" t="s">
        <v>56</v>
      </c>
      <c r="C5" s="19" t="s">
        <v>47</v>
      </c>
      <c r="D5" s="19" t="s">
        <v>57</v>
      </c>
      <c r="E5" s="19" t="s">
        <v>58</v>
      </c>
      <c r="F5" s="1"/>
      <c r="G5" s="1"/>
      <c r="H5" s="1"/>
      <c r="I5" s="1"/>
      <c r="J5" s="1"/>
      <c r="K5" s="1"/>
      <c r="L5" s="1"/>
    </row>
    <row r="6" ht="21.75" customHeight="1">
      <c r="A6" s="1"/>
      <c r="B6" s="20" t="s">
        <v>59</v>
      </c>
      <c r="C6" s="35">
        <v>739.0</v>
      </c>
      <c r="D6" s="35">
        <v>1071.88</v>
      </c>
      <c r="E6" s="36" t="str">
        <f t="shared" ref="E6:E13" si="1">D6/C6-1</f>
        <v>+45%</v>
      </c>
      <c r="F6" s="1"/>
      <c r="G6" s="1"/>
      <c r="H6" s="1"/>
      <c r="I6" s="1"/>
      <c r="J6" s="1"/>
      <c r="K6" s="1"/>
      <c r="L6" s="1"/>
    </row>
    <row r="7" ht="21.75" customHeight="1">
      <c r="A7" s="1"/>
      <c r="B7" s="20" t="s">
        <v>60</v>
      </c>
      <c r="C7" s="35">
        <v>190.01</v>
      </c>
      <c r="D7" s="35">
        <v>225.51</v>
      </c>
      <c r="E7" s="36" t="str">
        <f t="shared" si="1"/>
        <v>+19%</v>
      </c>
      <c r="F7" s="1"/>
      <c r="G7" s="1"/>
      <c r="H7" s="1"/>
      <c r="I7" s="1"/>
      <c r="J7" s="1"/>
      <c r="K7" s="1"/>
      <c r="L7" s="1"/>
    </row>
    <row r="8" ht="21.75" customHeight="1">
      <c r="A8" s="1"/>
      <c r="B8" s="20" t="s">
        <v>61</v>
      </c>
      <c r="C8" s="35">
        <v>122.26</v>
      </c>
      <c r="D8" s="35">
        <v>191.79</v>
      </c>
      <c r="E8" s="36" t="str">
        <f t="shared" si="1"/>
        <v>+57%</v>
      </c>
      <c r="F8" s="1"/>
      <c r="G8" s="1"/>
      <c r="H8" s="1"/>
      <c r="I8" s="1"/>
      <c r="J8" s="1"/>
      <c r="K8" s="1"/>
      <c r="L8" s="1"/>
    </row>
    <row r="9" ht="21.75" customHeight="1">
      <c r="A9" s="1"/>
      <c r="B9" s="20" t="s">
        <v>62</v>
      </c>
      <c r="C9" s="35">
        <v>539.03</v>
      </c>
      <c r="D9" s="35">
        <v>744.1</v>
      </c>
      <c r="E9" s="36" t="str">
        <f t="shared" si="1"/>
        <v>+38%</v>
      </c>
      <c r="F9" s="1"/>
      <c r="G9" s="1"/>
      <c r="H9" s="1"/>
      <c r="I9" s="1"/>
      <c r="J9" s="1"/>
      <c r="K9" s="1"/>
      <c r="L9" s="1"/>
    </row>
    <row r="10" ht="21.75" customHeight="1">
      <c r="A10" s="1"/>
      <c r="B10" s="20" t="s">
        <v>63</v>
      </c>
      <c r="C10" s="35">
        <v>602.35</v>
      </c>
      <c r="D10" s="35">
        <v>937.0</v>
      </c>
      <c r="E10" s="36" t="str">
        <f t="shared" si="1"/>
        <v>+56%</v>
      </c>
      <c r="F10" s="1"/>
      <c r="G10" s="1"/>
      <c r="H10" s="1"/>
      <c r="I10" s="1"/>
      <c r="J10" s="1"/>
      <c r="K10" s="1"/>
      <c r="L10" s="1"/>
    </row>
    <row r="11" ht="21.75" customHeight="1">
      <c r="A11" s="1"/>
      <c r="B11" s="20" t="s">
        <v>64</v>
      </c>
      <c r="C11" s="35">
        <v>148.22</v>
      </c>
      <c r="D11" s="35">
        <v>226.61</v>
      </c>
      <c r="E11" s="36" t="str">
        <f t="shared" si="1"/>
        <v>+53%</v>
      </c>
      <c r="F11" s="1"/>
      <c r="G11" s="1"/>
      <c r="H11" s="1"/>
      <c r="I11" s="1"/>
      <c r="J11" s="1"/>
      <c r="K11" s="1"/>
      <c r="L11" s="1"/>
    </row>
    <row r="12" ht="21.75" customHeight="1">
      <c r="A12" s="1"/>
      <c r="B12" s="20" t="s">
        <v>65</v>
      </c>
      <c r="C12" s="35">
        <v>60.82</v>
      </c>
      <c r="D12" s="35">
        <v>86.9</v>
      </c>
      <c r="E12" s="36" t="str">
        <f t="shared" si="1"/>
        <v>+43%</v>
      </c>
      <c r="F12" s="1"/>
      <c r="G12" s="1"/>
      <c r="H12" s="1"/>
      <c r="I12" s="1"/>
      <c r="J12" s="1"/>
      <c r="K12" s="1"/>
      <c r="L12" s="1"/>
    </row>
    <row r="13" ht="21.75" customHeight="1">
      <c r="A13" s="1"/>
      <c r="B13" s="20" t="s">
        <v>66</v>
      </c>
      <c r="C13" s="35">
        <v>29.31</v>
      </c>
      <c r="D13" s="35">
        <v>47.05</v>
      </c>
      <c r="E13" s="36" t="str">
        <f t="shared" si="1"/>
        <v>+61%</v>
      </c>
      <c r="F13" s="1"/>
      <c r="G13" s="1"/>
      <c r="H13" s="1"/>
      <c r="I13" s="1"/>
      <c r="J13" s="1"/>
      <c r="K13" s="1"/>
      <c r="L13" s="1"/>
    </row>
    <row r="14">
      <c r="A14" s="1"/>
      <c r="B14" s="20" t="s">
        <v>67</v>
      </c>
      <c r="C14" s="37"/>
      <c r="D14" s="4"/>
      <c r="E14" s="38" t="str">
        <f>AVERAGE(E6:E13)</f>
        <v>+46%</v>
      </c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6" t="s">
        <v>68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24.0" customHeight="1">
      <c r="A17" s="1"/>
      <c r="B17" s="39" t="s">
        <v>69</v>
      </c>
      <c r="C17" s="40"/>
      <c r="D17" s="8">
        <v>1320.0</v>
      </c>
      <c r="E17" s="1"/>
      <c r="F17" s="1"/>
      <c r="G17" s="1"/>
      <c r="H17" s="1"/>
      <c r="I17" s="1"/>
      <c r="J17" s="1"/>
      <c r="K17" s="1"/>
      <c r="L17" s="1"/>
    </row>
    <row r="18" ht="24.0" customHeight="1">
      <c r="A18" s="1"/>
      <c r="B18" s="39" t="s">
        <v>70</v>
      </c>
      <c r="C18" s="40"/>
      <c r="D18" s="23" t="str">
        <f>D17*(1+E14)</f>
        <v>1,931 €</v>
      </c>
      <c r="E18" s="1"/>
      <c r="F18" s="1"/>
      <c r="G18" s="1"/>
      <c r="H18" s="1"/>
      <c r="I18" s="1"/>
      <c r="J18" s="1"/>
      <c r="K18" s="1"/>
      <c r="L18" s="1"/>
    </row>
    <row r="19" ht="24.0" customHeight="1">
      <c r="A19" s="1"/>
      <c r="B19" s="39" t="s">
        <v>12</v>
      </c>
      <c r="C19" s="40"/>
      <c r="D19" s="24" t="str">
        <f>D18-D17</f>
        <v>611 €</v>
      </c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42.0" customHeight="1">
      <c r="A21" s="1"/>
      <c r="B21" s="25" t="s">
        <v>71</v>
      </c>
      <c r="C21" s="3"/>
      <c r="D21" s="3"/>
      <c r="E21" s="4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29" t="s">
        <v>32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B2:E2"/>
    <mergeCell ref="B3:E3"/>
    <mergeCell ref="C14:D14"/>
    <mergeCell ref="B17:C17"/>
    <mergeCell ref="B18:C18"/>
    <mergeCell ref="B19:C19"/>
    <mergeCell ref="B21:E21"/>
  </mergeCells>
  <printOptions/>
  <pageMargins bottom="1.0" footer="0.0" header="0.0" left="0.75" right="0.75" top="1.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2026-09-26T06:09:58Z</dcterms:created>
  <dc:creator>openpyxl</dc:creator>
  <dc:description/>
  <dc:language>en-US</dc:language>
  <cp:lastModifiedBy/>
  <dcterms:modified xsi:type="dcterms:W3CDTF">2026-09-26T09:10:00Z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